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chris\Desktop\jupyter\"/>
    </mc:Choice>
  </mc:AlternateContent>
  <xr:revisionPtr revIDLastSave="0" documentId="8_{50C2E088-31A1-4FD4-9968-ED57ED19BC7F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Principal" sheetId="7" r:id="rId1"/>
    <sheet name="Tabla" sheetId="5" r:id="rId2"/>
    <sheet name="Registro" sheetId="8" r:id="rId3"/>
    <sheet name="Tablitas" sheetId="9" r:id="rId4"/>
    <sheet name="Consulta" sheetId="4" r:id="rId5"/>
    <sheet name="BaseDatos" sheetId="11" r:id="rId6"/>
    <sheet name="Tabla Grafico Dinamico" sheetId="12" r:id="rId7"/>
    <sheet name="INFORME DINAMICO" sheetId="13" r:id="rId8"/>
  </sheets>
  <externalReferences>
    <externalReference r:id="rId9"/>
  </externalReferences>
  <definedNames>
    <definedName name="__IntlFixup" hidden="1">TRUE</definedName>
    <definedName name="_xlnm._FilterDatabase" localSheetId="5" hidden="1">BaseDatos!$A$10:$I$100</definedName>
    <definedName name="_Order1" hidden="1">255</definedName>
    <definedName name="_Order2" hidden="1">0</definedName>
    <definedName name="AccessDatabase" hidden="1">"C:\My Documents\MAUI MALL1.mdb"</definedName>
    <definedName name="ACwvu.CapersView." hidden="1">[1]MASTER!#REF!</definedName>
    <definedName name="ACwvu.Japan_Capers_Ed_Pub." hidden="1">#REF!</definedName>
    <definedName name="ACwvu.KJP_CC." hidden="1">#REF!</definedName>
    <definedName name="AFP">#REF!</definedName>
    <definedName name="anscount" hidden="1">1</definedName>
    <definedName name="_xlnm.Print_Area" localSheetId="4">Consulta!$A$1:$J$29</definedName>
    <definedName name="CODIGO">Tabla!#REF!</definedName>
    <definedName name="costo">#REF!</definedName>
    <definedName name="criterio">#REF!</definedName>
    <definedName name="Curso">#REF!</definedName>
    <definedName name="Cwvu.CapersView." hidden="1">[1]MASTER!#REF!</definedName>
    <definedName name="Cwvu.Japan_Capers_Ed_Pub." hidden="1">[1]MASTER!#REF!</definedName>
    <definedName name="Cwvu.KJP_CC.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Datos">Tabla!$A$2:$L$16</definedName>
    <definedName name="Dólar_Cambio">#REF!</definedName>
    <definedName name="Este">#REF!</definedName>
    <definedName name="Fotito">INDIRECT(Consulta!$C$12)</definedName>
    <definedName name="FOTO">INDIRECT(Consulta!$C$12)</definedName>
    <definedName name="Fotografia">INDIRECT(Consulta!$C$12)</definedName>
    <definedName name="Fotos">Tabla!#REF!</definedName>
    <definedName name="HTML_CodePage" hidden="1">1252</definedName>
    <definedName name="HTML_Control" hidden="1">{"'PRODUCTIONCOST SHEET'!$B$3:$G$48"}</definedName>
    <definedName name="HTML_Description" hidden="1">"DRAFT"</definedName>
    <definedName name="HTML_Email" hidden="1">"Patrick_Blattner@Studio.Disney.com"</definedName>
    <definedName name="HTML_Header" hidden="1">"EXISTING &amp; FUTURE PRODUCTS (CONFIDENTIAL)"</definedName>
    <definedName name="HTML_LastUpdate" hidden="1">"2/8/98"</definedName>
    <definedName name="HTML_LineAfter" hidden="1">FALSE</definedName>
    <definedName name="HTML_LineBefore" hidden="1">TRUE</definedName>
    <definedName name="HTML_Name" hidden="1">"Patrick Blattner"</definedName>
    <definedName name="HTML_OBDlg2" hidden="1">TRUE</definedName>
    <definedName name="HTML_OBDlg4" hidden="1">TRUE</definedName>
    <definedName name="HTML_OS" hidden="1">0</definedName>
    <definedName name="HTML_PathFile" hidden="1">"K:\ANIMATE\SECURE\Production\INTRANET\ANI.HTML.htm"</definedName>
    <definedName name="HTML_Title" hidden="1">"2D ANIMATION PRODUCTION TABLE"</definedName>
    <definedName name="imagen">INDIRECT(Consulta!$E$12)</definedName>
    <definedName name="limcount" hidden="1">1</definedName>
    <definedName name="lista">#REF!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NativeTimeline_Fecha">#N/A</definedName>
    <definedName name="NCOD">BaseDatos[Nº]</definedName>
    <definedName name="OPER01">Tabla!$M$2</definedName>
    <definedName name="OPER02">Tabla!$M$3</definedName>
    <definedName name="OPER03">Tabla!$M$4</definedName>
    <definedName name="OPER04">Tabla!$M$5</definedName>
    <definedName name="OPER05">Tabla!$M$6</definedName>
    <definedName name="OPER06">Tabla!$M$7</definedName>
    <definedName name="OPER07">Tabla!$M$8</definedName>
    <definedName name="OPER08">Tabla!$M$9</definedName>
    <definedName name="OPER09">Tabla!$M$10</definedName>
    <definedName name="OPER10">Tabla!$M$11</definedName>
    <definedName name="OPER11">Tabla!$M$12</definedName>
    <definedName name="OPER12">Tabla!$M$13</definedName>
    <definedName name="OPER13">Tabla!$M$14</definedName>
    <definedName name="OPER14">Tabla!$M$15</definedName>
    <definedName name="PRECIOS">BaseDatos!$B$3:$E$6</definedName>
    <definedName name="Rwvu.CapersView." hidden="1">#REF!</definedName>
    <definedName name="Rwvu.Japan_Capers_Ed_Pub." hidden="1">#REF!</definedName>
    <definedName name="Rwvu.KJP_CC." hidden="1">#REF!</definedName>
    <definedName name="SALIDA">#REF!</definedName>
    <definedName name="SegmentaciónDeDatos_Articulo">#N/A</definedName>
    <definedName name="SegmentaciónDeDatos_Vendedor">#N/A</definedName>
    <definedName name="sencount" hidden="1">1</definedName>
    <definedName name="SOLOCOD">#REF!</definedName>
    <definedName name="Swvu.CapersView." hidden="1">[1]MASTER!#REF!</definedName>
    <definedName name="Swvu.Japan_Capers_Ed_Pub." hidden="1">#REF!</definedName>
    <definedName name="Swvu.KJP_CC." hidden="1">#REF!</definedName>
    <definedName name="TABLA">#REF!</definedName>
    <definedName name="tabla1">#REF!</definedName>
    <definedName name="tabla2">#REF!</definedName>
    <definedName name="wrn.CapersPlotter." hidden="1">{#N/A,#N/A,FALSE,"DI 2 YEAR MASTER SCHEDULE"}</definedName>
    <definedName name="wrn.Edutainment._.Priority._.List." hidden="1">{#N/A,#N/A,FALSE,"DI 2 YEAR MASTER SCHEDULE"}</definedName>
    <definedName name="wrn.Japan_Capers_Ed._.Pub." hidden="1">{"Japan_Capers_Ed_Pub",#N/A,FALSE,"DI 2 YEAR MASTER SCHEDULE"}</definedName>
    <definedName name="wrn.Priority._.list." hidden="1">{#N/A,#N/A,FALSE,"DI 2 YEAR MASTER SCHEDULE"}</definedName>
    <definedName name="wrn.Prjcted._.Mnthly._.Qtys." hidden="1">{#N/A,#N/A,FALSE,"PRJCTED MNTHLY QTY's"}</definedName>
    <definedName name="wrn.Prjcted._.Qtrly._.Dollars." hidden="1">{#N/A,#N/A,FALSE,"PRJCTED QTRLY $'s"}</definedName>
    <definedName name="wrn.Prjcted._.Qtrly._.Qtys." hidden="1">{#N/A,#N/A,FALSE,"PRJCTED QTRLY QTY's"}</definedName>
    <definedName name="wvu.CapersView.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Japan_Capers_Ed_Pub.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KJP_CC.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Z_9A428CE1_B4D9_11D0_A8AA_0000C071AEE7_.wvu.Cols" hidden="1">[1]MASTER!$A$1:$Q$65536,[1]MASTER!$Y$1:$Z$65536</definedName>
    <definedName name="Z_9A428CE1_B4D9_11D0_A8AA_0000C071AEE7_.wvu.PrintArea" hidden="1">#REF!</definedName>
    <definedName name="Z_9A428CE1_B4D9_11D0_A8AA_0000C071AEE7_.wvu.Rows" hidden="1">[1]MASTER!#REF!,[1]MASTER!#REF!,[1]MASTER!#REF!,[1]MASTER!#REF!,[1]MASTER!#REF!,[1]MASTER!#REF!,[1]MASTER!#REF!,[1]MASTER!$A$98:$IV$272</definedName>
  </definedNames>
  <calcPr calcId="191029"/>
  <pivotCaches>
    <pivotCache cacheId="0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3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1" i="4" l="1"/>
  <c r="D17" i="4"/>
  <c r="H14" i="4"/>
  <c r="H12" i="4"/>
  <c r="G17" i="4" s="1"/>
  <c r="H10" i="4"/>
  <c r="H8" i="4"/>
  <c r="G19" i="4" s="1"/>
  <c r="H19" i="4" s="1"/>
  <c r="C14" i="4"/>
  <c r="C12" i="4"/>
  <c r="C10" i="4"/>
  <c r="C8" i="4"/>
  <c r="D19" i="4" l="1"/>
  <c r="D24" i="4" s="1"/>
  <c r="H17" i="4" s="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1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2" i="11"/>
  <c r="H11" i="11"/>
  <c r="H24" i="4" l="1"/>
  <c r="G27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</author>
  </authors>
  <commentList>
    <comment ref="H10" authorId="0" shapeId="0" xr:uid="{DF23EECE-8A2A-44B3-8AA5-15F415DB33E1}">
      <text>
        <r>
          <rPr>
            <b/>
            <sz val="9"/>
            <color indexed="81"/>
            <rFont val="Tahoma"/>
            <family val="2"/>
          </rPr>
          <t xml:space="preserve">Precio
</t>
        </r>
        <r>
          <rPr>
            <sz val="9"/>
            <color indexed="81"/>
            <rFont val="Tahoma"/>
            <family val="2"/>
          </rPr>
          <t xml:space="preserve">PRECIO según ARTICULO y MARCA
</t>
        </r>
      </text>
    </comment>
    <comment ref="I10" authorId="0" shapeId="0" xr:uid="{7D8FEE44-8381-451C-AF71-7527E0C88B18}">
      <text>
        <r>
          <rPr>
            <b/>
            <sz val="9"/>
            <color indexed="81"/>
            <rFont val="Tahoma"/>
            <family val="2"/>
          </rPr>
          <t>Total:</t>
        </r>
        <r>
          <rPr>
            <sz val="9"/>
            <color indexed="81"/>
            <rFont val="Tahoma"/>
            <family val="2"/>
          </rPr>
          <t xml:space="preserve">
Cantidad por Precio
</t>
        </r>
      </text>
    </comment>
  </commentList>
</comments>
</file>

<file path=xl/sharedStrings.xml><?xml version="1.0" encoding="utf-8"?>
<sst xmlns="http://schemas.openxmlformats.org/spreadsheetml/2006/main" count="677" uniqueCount="144">
  <si>
    <t>AD-CONSULTORES S.A.</t>
  </si>
  <si>
    <t>Boleta de Pago</t>
  </si>
  <si>
    <t>Tipo de Trabajador</t>
  </si>
  <si>
    <t>Nombres</t>
  </si>
  <si>
    <t>Situación Laboral</t>
  </si>
  <si>
    <t>Cargo</t>
  </si>
  <si>
    <t>Afiliado</t>
  </si>
  <si>
    <t>Fecha Ingreso</t>
  </si>
  <si>
    <t>Básico</t>
  </si>
  <si>
    <t>AFP</t>
  </si>
  <si>
    <t>Bonificación</t>
  </si>
  <si>
    <t>ESSALUD</t>
  </si>
  <si>
    <t>Horas Extras</t>
  </si>
  <si>
    <t>Sub-Total Apor y Desc</t>
  </si>
  <si>
    <t>Firma Empleado</t>
  </si>
  <si>
    <t>Firma Empleador o Representante</t>
  </si>
  <si>
    <t>Nº</t>
  </si>
  <si>
    <t>CODIGO</t>
  </si>
  <si>
    <t>NOMBRE</t>
  </si>
  <si>
    <t>APELLIDOS</t>
  </si>
  <si>
    <t>CARGO</t>
  </si>
  <si>
    <t>DOCUMENTO</t>
  </si>
  <si>
    <t>FEC_NAC</t>
  </si>
  <si>
    <t>TIPO_TRABAJADOR</t>
  </si>
  <si>
    <t>SITUACION</t>
  </si>
  <si>
    <t>AFILIADO</t>
  </si>
  <si>
    <t>FEC_ING</t>
  </si>
  <si>
    <t>BASICO</t>
  </si>
  <si>
    <t>Rocio</t>
  </si>
  <si>
    <t>Estrada  Velarde</t>
  </si>
  <si>
    <t>Gerente</t>
  </si>
  <si>
    <t>Empleado</t>
  </si>
  <si>
    <t>Contratado</t>
  </si>
  <si>
    <t>Luis Antonio</t>
  </si>
  <si>
    <t>Torres Alonso</t>
  </si>
  <si>
    <t>Asistente</t>
  </si>
  <si>
    <t>Estable</t>
  </si>
  <si>
    <t>Iris del Pilar</t>
  </si>
  <si>
    <t>Alvarez Carranza</t>
  </si>
  <si>
    <t>Jhon</t>
  </si>
  <si>
    <t>Alarcon Robles</t>
  </si>
  <si>
    <t>Tecnico</t>
  </si>
  <si>
    <t>Obrero</t>
  </si>
  <si>
    <t>Pedro</t>
  </si>
  <si>
    <t>Suarez Quispe</t>
  </si>
  <si>
    <t>Magaly</t>
  </si>
  <si>
    <t>Jimenes Rios</t>
  </si>
  <si>
    <t>Secretaria</t>
  </si>
  <si>
    <t>Liliam</t>
  </si>
  <si>
    <t>Diaz Cabrera</t>
  </si>
  <si>
    <t>Jose Carlos</t>
  </si>
  <si>
    <t>Fuentes Carpio</t>
  </si>
  <si>
    <t>Maribel</t>
  </si>
  <si>
    <t>Mendez Correa</t>
  </si>
  <si>
    <t>Jose Maria</t>
  </si>
  <si>
    <t>Salazar Mejia</t>
  </si>
  <si>
    <t xml:space="preserve">Miguel </t>
  </si>
  <si>
    <t>Hurtado Milla</t>
  </si>
  <si>
    <t>Sofia</t>
  </si>
  <si>
    <t>Palomino Ruiz</t>
  </si>
  <si>
    <t>Fecha Nacimiento</t>
  </si>
  <si>
    <t>Neto a Pagar</t>
  </si>
  <si>
    <t>SubTotRemuneracion</t>
  </si>
  <si>
    <t>DNI</t>
  </si>
  <si>
    <t>Codigo del Empleado</t>
  </si>
  <si>
    <t>CONTROL PRINCIPAL</t>
  </si>
  <si>
    <t>Registrar Datos de Empleado</t>
  </si>
  <si>
    <t>OPER01</t>
  </si>
  <si>
    <t>OPER02</t>
  </si>
  <si>
    <t>OPER03</t>
  </si>
  <si>
    <t>OPER04</t>
  </si>
  <si>
    <t>OPER05</t>
  </si>
  <si>
    <t>OPER06</t>
  </si>
  <si>
    <t>OPER07</t>
  </si>
  <si>
    <t>OPER08</t>
  </si>
  <si>
    <t>OPER09</t>
  </si>
  <si>
    <t>OPER10</t>
  </si>
  <si>
    <t>OPER11</t>
  </si>
  <si>
    <t>OPER12</t>
  </si>
  <si>
    <t>PROFUTURO</t>
  </si>
  <si>
    <t>RIMAC</t>
  </si>
  <si>
    <t>SURA</t>
  </si>
  <si>
    <t>Contador</t>
  </si>
  <si>
    <t>Supervisor</t>
  </si>
  <si>
    <t>Fotografia</t>
  </si>
  <si>
    <t>TIPO DE TRABAJADOR</t>
  </si>
  <si>
    <t>Profuturo</t>
  </si>
  <si>
    <t>Rimac</t>
  </si>
  <si>
    <t>Sura</t>
  </si>
  <si>
    <t>PRECIOS</t>
  </si>
  <si>
    <t>Articulo</t>
  </si>
  <si>
    <t>Daewoo</t>
  </si>
  <si>
    <t>LG</t>
  </si>
  <si>
    <t>Samsung</t>
  </si>
  <si>
    <t>Televisor</t>
  </si>
  <si>
    <t>Lavadora</t>
  </si>
  <si>
    <t>Refrigerador</t>
  </si>
  <si>
    <t>Tienda</t>
  </si>
  <si>
    <t>Distrito</t>
  </si>
  <si>
    <t>Vendedor</t>
  </si>
  <si>
    <t>Marca</t>
  </si>
  <si>
    <t>Cantidad</t>
  </si>
  <si>
    <t>Precio</t>
  </si>
  <si>
    <t>Total</t>
  </si>
  <si>
    <t>Carsa</t>
  </si>
  <si>
    <t>San Miguel</t>
  </si>
  <si>
    <t>Rivera</t>
  </si>
  <si>
    <t>Elektra</t>
  </si>
  <si>
    <t>San Isidro</t>
  </si>
  <si>
    <t>Hiraoka</t>
  </si>
  <si>
    <t>Salazar</t>
  </si>
  <si>
    <t>Bellido</t>
  </si>
  <si>
    <t>Los Olivos</t>
  </si>
  <si>
    <t>Barranco</t>
  </si>
  <si>
    <t xml:space="preserve">POR TABLA Y GRAFICO DINAMICO </t>
  </si>
  <si>
    <t>1. Quien es el VENDEDOR de mayor CANTIDAD de venta</t>
  </si>
  <si>
    <t>2. Quien es el VENDEDOR de mayor Total de Venta</t>
  </si>
  <si>
    <t>3. En que TIENDA se genero la mayor CANTIDAD de venta</t>
  </si>
  <si>
    <t>4. Cual es el ARTICULO con mayor TOTAL de Venta…</t>
  </si>
  <si>
    <t>solo los Graficos Dinamico de su informe…</t>
  </si>
  <si>
    <t>vendedor</t>
  </si>
  <si>
    <t>articulo</t>
  </si>
  <si>
    <t>SU NOMBRE COMO NOMBRE EMPRESA….</t>
  </si>
  <si>
    <t>Fecha</t>
  </si>
  <si>
    <t>RELACION DE CONSUMO DE GASEOSAS 2DA SEMANA ENERO 2022</t>
  </si>
  <si>
    <t xml:space="preserve">ESCALA DE TIEMPO </t>
  </si>
  <si>
    <t>Etiquetas de fila</t>
  </si>
  <si>
    <t>Total general</t>
  </si>
  <si>
    <t>Suma de Cantidad</t>
  </si>
  <si>
    <t>Suma de Total</t>
  </si>
  <si>
    <t>OPER13</t>
  </si>
  <si>
    <t>Oscar</t>
  </si>
  <si>
    <t>Acosta Morios</t>
  </si>
  <si>
    <t>OPER14</t>
  </si>
  <si>
    <t>Maria</t>
  </si>
  <si>
    <t>Mercez Pando</t>
  </si>
  <si>
    <t>OPER15</t>
  </si>
  <si>
    <t>Fotos</t>
  </si>
  <si>
    <t>juan</t>
  </si>
  <si>
    <t>perez</t>
  </si>
  <si>
    <t>OPER16</t>
  </si>
  <si>
    <t>Se registra en la hoja "Tabla"</t>
  </si>
  <si>
    <t xml:space="preserve">Segmentacion de datos y cree un "Reporte Dinamico" utilizando </t>
  </si>
  <si>
    <t>Datos de la hoja "BaseDatos"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</si>
</sst>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 &quot;S/.&quot;\ * #,##0.00_ ;_ &quot;S/.&quot;\ * \-#,##0.00_ ;_ &quot;S/.&quot;\ * &quot;-&quot;??_ ;_ @_ "/>
    <numFmt numFmtId="165" formatCode="_(&quot;S/.&quot;* #,##0.00_);_(&quot;S/.&quot;* \(#,##0.00\);_(&quot;S/.&quot;* &quot;-&quot;??_);_(@_)"/>
    <numFmt numFmtId="166" formatCode="&quot;€&quot;\ #,##0.00"/>
    <numFmt numFmtId="167" formatCode="_(* #,##0.00_);_(* \(#,##0.00\);_(* &quot;-&quot;??_);_(@_)"/>
  </numFmts>
  <fonts count="30" x14ac:knownFonts="1">
    <font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theme="0" tint="-0.499984740745262"/>
      <name val="Calibri"/>
      <family val="2"/>
      <scheme val="minor"/>
    </font>
    <font>
      <sz val="2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9"/>
      <color theme="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4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 tint="0.249977111117893"/>
      <name val="Calibri"/>
      <family val="2"/>
      <scheme val="minor"/>
    </font>
    <font>
      <sz val="18"/>
      <color theme="1" tint="0.249977111117893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0"/>
      <name val="Arial"/>
      <family val="2"/>
    </font>
    <font>
      <b/>
      <u/>
      <sz val="12"/>
      <color theme="1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22"/>
      <color rgb="FFFF000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0"/>
      <color theme="7" tint="-0.249977111117893"/>
      <name val="Calibri"/>
      <family val="2"/>
      <scheme val="minor"/>
    </font>
    <font>
      <b/>
      <sz val="22"/>
      <color rgb="FF0070C0"/>
      <name val="Calibri"/>
      <family val="2"/>
      <scheme val="minor"/>
    </font>
    <font>
      <sz val="10"/>
      <color theme="0"/>
      <name val="Arial"/>
      <family val="2"/>
    </font>
    <font>
      <sz val="11"/>
      <color theme="1" tint="4.9989318521683403E-2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theme="7"/>
      </patternFill>
    </fill>
    <fill>
      <patternFill patternType="solid">
        <fgColor theme="7" tint="0.59999389629810485"/>
        <bgColor theme="7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165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7" fillId="0" borderId="0"/>
    <xf numFmtId="167" fontId="17" fillId="0" borderId="0" applyFont="0" applyFill="0" applyBorder="0" applyAlignment="0" applyProtection="0"/>
  </cellStyleXfs>
  <cellXfs count="117">
    <xf numFmtId="0" fontId="0" fillId="0" borderId="0" xfId="0"/>
    <xf numFmtId="0" fontId="0" fillId="2" borderId="0" xfId="0" applyFill="1"/>
    <xf numFmtId="0" fontId="0" fillId="3" borderId="0" xfId="0" applyFill="1"/>
    <xf numFmtId="0" fontId="3" fillId="2" borderId="0" xfId="0" applyFont="1" applyFill="1"/>
    <xf numFmtId="0" fontId="0" fillId="4" borderId="0" xfId="0" applyFill="1"/>
    <xf numFmtId="0" fontId="4" fillId="4" borderId="0" xfId="0" applyFont="1" applyFill="1"/>
    <xf numFmtId="0" fontId="4" fillId="2" borderId="1" xfId="0" applyFont="1" applyFill="1" applyBorder="1"/>
    <xf numFmtId="0" fontId="4" fillId="4" borderId="0" xfId="0" applyFont="1" applyFill="1" applyBorder="1"/>
    <xf numFmtId="0" fontId="4" fillId="4" borderId="0" xfId="0" applyFont="1" applyFill="1" applyAlignment="1">
      <alignment horizontal="left"/>
    </xf>
    <xf numFmtId="0" fontId="4" fillId="2" borderId="0" xfId="0" applyFont="1" applyFill="1"/>
    <xf numFmtId="14" fontId="4" fillId="2" borderId="1" xfId="0" applyNumberFormat="1" applyFont="1" applyFill="1" applyBorder="1"/>
    <xf numFmtId="0" fontId="0" fillId="5" borderId="0" xfId="0" applyFill="1" applyAlignment="1">
      <alignment horizontal="right"/>
    </xf>
    <xf numFmtId="0" fontId="0" fillId="5" borderId="0" xfId="0" applyFill="1"/>
    <xf numFmtId="0" fontId="0" fillId="2" borderId="1" xfId="0" applyFill="1" applyBorder="1"/>
    <xf numFmtId="0" fontId="0" fillId="2" borderId="1" xfId="0" applyNumberFormat="1" applyFill="1" applyBorder="1"/>
    <xf numFmtId="0" fontId="0" fillId="5" borderId="0" xfId="0" applyFill="1" applyAlignment="1">
      <alignment horizontal="center"/>
    </xf>
    <xf numFmtId="0" fontId="0" fillId="5" borderId="0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8" xfId="0" applyFill="1" applyBorder="1"/>
    <xf numFmtId="0" fontId="0" fillId="2" borderId="0" xfId="0" applyFill="1" applyBorder="1"/>
    <xf numFmtId="0" fontId="0" fillId="2" borderId="9" xfId="0" applyFill="1" applyBorder="1"/>
    <xf numFmtId="166" fontId="0" fillId="2" borderId="0" xfId="0" applyNumberFormat="1" applyFill="1"/>
    <xf numFmtId="0" fontId="0" fillId="6" borderId="1" xfId="0" applyFill="1" applyBorder="1"/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 applyAlignment="1">
      <alignment horizontal="center" vertical="center"/>
    </xf>
    <xf numFmtId="0" fontId="10" fillId="7" borderId="0" xfId="0" applyFont="1" applyFill="1"/>
    <xf numFmtId="0" fontId="1" fillId="4" borderId="0" xfId="0" applyFont="1" applyFill="1"/>
    <xf numFmtId="0" fontId="0" fillId="4" borderId="0" xfId="0" applyFill="1" applyBorder="1"/>
    <xf numFmtId="0" fontId="0" fillId="4" borderId="0" xfId="0" applyFill="1" applyBorder="1" applyAlignment="1">
      <alignment horizontal="right" vertical="center"/>
    </xf>
    <xf numFmtId="0" fontId="0" fillId="9" borderId="0" xfId="0" applyFill="1"/>
    <xf numFmtId="0" fontId="15" fillId="4" borderId="0" xfId="0" applyFont="1" applyFill="1" applyAlignment="1">
      <alignment vertical="center"/>
    </xf>
    <xf numFmtId="0" fontId="11" fillId="2" borderId="0" xfId="0" applyFont="1" applyFill="1" applyBorder="1" applyAlignment="1"/>
    <xf numFmtId="0" fontId="0" fillId="2" borderId="16" xfId="0" applyFill="1" applyBorder="1"/>
    <xf numFmtId="0" fontId="0" fillId="2" borderId="17" xfId="0" applyFill="1" applyBorder="1"/>
    <xf numFmtId="0" fontId="0" fillId="10" borderId="1" xfId="0" applyFill="1" applyBorder="1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14" fontId="0" fillId="2" borderId="1" xfId="0" applyNumberFormat="1" applyFill="1" applyBorder="1"/>
    <xf numFmtId="164" fontId="0" fillId="2" borderId="1" xfId="0" applyNumberFormat="1" applyFill="1" applyBorder="1"/>
    <xf numFmtId="0" fontId="4" fillId="2" borderId="2" xfId="0" applyNumberFormat="1" applyFont="1" applyFill="1" applyBorder="1"/>
    <xf numFmtId="0" fontId="0" fillId="2" borderId="0" xfId="0" applyNumberFormat="1" applyFill="1" applyBorder="1"/>
    <xf numFmtId="9" fontId="0" fillId="5" borderId="1" xfId="2" applyFont="1" applyFill="1" applyBorder="1"/>
    <xf numFmtId="10" fontId="0" fillId="2" borderId="0" xfId="2" applyNumberFormat="1" applyFont="1" applyFill="1" applyBorder="1"/>
    <xf numFmtId="0" fontId="0" fillId="2" borderId="0" xfId="2" applyNumberFormat="1" applyFont="1" applyFill="1" applyBorder="1"/>
    <xf numFmtId="0" fontId="4" fillId="2" borderId="1" xfId="0" applyNumberFormat="1" applyFont="1" applyFill="1" applyBorder="1"/>
    <xf numFmtId="0" fontId="0" fillId="2" borderId="18" xfId="0" applyFill="1" applyBorder="1"/>
    <xf numFmtId="0" fontId="16" fillId="4" borderId="0" xfId="0" applyFont="1" applyFill="1"/>
    <xf numFmtId="0" fontId="0" fillId="0" borderId="0" xfId="0" applyBorder="1"/>
    <xf numFmtId="0" fontId="17" fillId="0" borderId="0" xfId="3"/>
    <xf numFmtId="0" fontId="19" fillId="11" borderId="4" xfId="3" applyFont="1" applyFill="1" applyBorder="1" applyAlignment="1">
      <alignment horizontal="center"/>
    </xf>
    <xf numFmtId="0" fontId="19" fillId="11" borderId="19" xfId="3" applyFont="1" applyFill="1" applyBorder="1" applyAlignment="1">
      <alignment horizontal="center"/>
    </xf>
    <xf numFmtId="0" fontId="20" fillId="12" borderId="4" xfId="3" applyFont="1" applyFill="1" applyBorder="1"/>
    <xf numFmtId="167" fontId="20" fillId="0" borderId="4" xfId="4" applyFont="1" applyFill="1" applyBorder="1"/>
    <xf numFmtId="167" fontId="20" fillId="0" borderId="19" xfId="4" applyFont="1" applyFill="1" applyBorder="1"/>
    <xf numFmtId="0" fontId="20" fillId="13" borderId="4" xfId="3" applyFont="1" applyFill="1" applyBorder="1"/>
    <xf numFmtId="0" fontId="20" fillId="12" borderId="2" xfId="3" applyFont="1" applyFill="1" applyBorder="1"/>
    <xf numFmtId="167" fontId="20" fillId="0" borderId="2" xfId="4" applyFont="1" applyFill="1" applyBorder="1"/>
    <xf numFmtId="167" fontId="20" fillId="0" borderId="1" xfId="4" applyFont="1" applyFill="1" applyBorder="1"/>
    <xf numFmtId="0" fontId="17" fillId="0" borderId="5" xfId="3" applyBorder="1"/>
    <xf numFmtId="0" fontId="17" fillId="0" borderId="5" xfId="3" applyBorder="1" applyAlignment="1">
      <alignment horizontal="center"/>
    </xf>
    <xf numFmtId="167" fontId="0" fillId="0" borderId="5" xfId="4" applyFont="1" applyBorder="1"/>
    <xf numFmtId="167" fontId="0" fillId="0" borderId="6" xfId="4" applyFont="1" applyBorder="1"/>
    <xf numFmtId="0" fontId="17" fillId="0" borderId="0" xfId="3" applyAlignment="1">
      <alignment horizontal="center"/>
    </xf>
    <xf numFmtId="167" fontId="0" fillId="0" borderId="0" xfId="4" applyFont="1" applyBorder="1"/>
    <xf numFmtId="167" fontId="0" fillId="0" borderId="9" xfId="4" applyFont="1" applyBorder="1"/>
    <xf numFmtId="0" fontId="17" fillId="0" borderId="11" xfId="3" applyBorder="1"/>
    <xf numFmtId="0" fontId="17" fillId="0" borderId="11" xfId="3" applyBorder="1" applyAlignment="1">
      <alignment horizontal="center"/>
    </xf>
    <xf numFmtId="167" fontId="0" fillId="0" borderId="11" xfId="4" applyFont="1" applyBorder="1"/>
    <xf numFmtId="167" fontId="0" fillId="0" borderId="12" xfId="4" applyFont="1" applyBorder="1"/>
    <xf numFmtId="0" fontId="6" fillId="14" borderId="11" xfId="0" applyFont="1" applyFill="1" applyBorder="1"/>
    <xf numFmtId="0" fontId="13" fillId="14" borderId="11" xfId="0" applyFont="1" applyFill="1" applyBorder="1"/>
    <xf numFmtId="0" fontId="23" fillId="2" borderId="0" xfId="0" applyFont="1" applyFill="1"/>
    <xf numFmtId="0" fontId="24" fillId="2" borderId="0" xfId="0" applyFont="1" applyFill="1"/>
    <xf numFmtId="0" fontId="25" fillId="2" borderId="0" xfId="0" applyFont="1" applyFill="1"/>
    <xf numFmtId="0" fontId="26" fillId="2" borderId="0" xfId="0" applyFont="1" applyFill="1"/>
    <xf numFmtId="0" fontId="19" fillId="11" borderId="1" xfId="3" applyFont="1" applyFill="1" applyBorder="1" applyAlignment="1">
      <alignment horizontal="center"/>
    </xf>
    <xf numFmtId="0" fontId="28" fillId="0" borderId="0" xfId="3" applyFont="1"/>
    <xf numFmtId="14" fontId="17" fillId="0" borderId="4" xfId="3" applyNumberFormat="1" applyBorder="1"/>
    <xf numFmtId="14" fontId="17" fillId="0" borderId="8" xfId="3" applyNumberFormat="1" applyBorder="1"/>
    <xf numFmtId="14" fontId="17" fillId="0" borderId="10" xfId="3" applyNumberFormat="1" applyBorder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29" fillId="2" borderId="0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9" fillId="2" borderId="0" xfId="0" applyFont="1" applyFill="1" applyAlignment="1">
      <alignment horizontal="center" vertical="center"/>
    </xf>
    <xf numFmtId="9" fontId="0" fillId="5" borderId="1" xfId="2" applyNumberFormat="1" applyFont="1" applyFill="1" applyBorder="1"/>
    <xf numFmtId="0" fontId="12" fillId="8" borderId="13" xfId="0" applyFont="1" applyFill="1" applyBorder="1" applyAlignment="1">
      <alignment horizontal="center"/>
    </xf>
    <xf numFmtId="0" fontId="12" fillId="8" borderId="14" xfId="0" applyFont="1" applyFill="1" applyBorder="1" applyAlignment="1">
      <alignment horizontal="center"/>
    </xf>
    <xf numFmtId="0" fontId="12" fillId="8" borderId="15" xfId="0" applyFont="1" applyFill="1" applyBorder="1" applyAlignment="1">
      <alignment horizontal="center"/>
    </xf>
    <xf numFmtId="0" fontId="2" fillId="4" borderId="0" xfId="0" applyFont="1" applyFill="1" applyAlignment="1">
      <alignment horizontal="right" vertical="center"/>
    </xf>
    <xf numFmtId="0" fontId="14" fillId="2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2" borderId="2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165" fontId="5" fillId="2" borderId="4" xfId="1" applyFont="1" applyFill="1" applyBorder="1" applyAlignment="1">
      <alignment horizontal="center" vertical="center"/>
    </xf>
    <xf numFmtId="165" fontId="5" fillId="2" borderId="5" xfId="1" applyFont="1" applyFill="1" applyBorder="1" applyAlignment="1">
      <alignment horizontal="center" vertical="center"/>
    </xf>
    <xf numFmtId="165" fontId="5" fillId="2" borderId="6" xfId="1" applyFont="1" applyFill="1" applyBorder="1" applyAlignment="1">
      <alignment horizontal="center" vertical="center"/>
    </xf>
    <xf numFmtId="165" fontId="5" fillId="2" borderId="8" xfId="1" applyFont="1" applyFill="1" applyBorder="1" applyAlignment="1">
      <alignment horizontal="center" vertical="center"/>
    </xf>
    <xf numFmtId="165" fontId="5" fillId="2" borderId="0" xfId="1" applyFont="1" applyFill="1" applyBorder="1" applyAlignment="1">
      <alignment horizontal="center" vertical="center"/>
    </xf>
    <xf numFmtId="165" fontId="5" fillId="2" borderId="9" xfId="1" applyFont="1" applyFill="1" applyBorder="1" applyAlignment="1">
      <alignment horizontal="center" vertical="center"/>
    </xf>
    <xf numFmtId="165" fontId="5" fillId="2" borderId="10" xfId="1" applyFont="1" applyFill="1" applyBorder="1" applyAlignment="1">
      <alignment horizontal="center" vertical="center"/>
    </xf>
    <xf numFmtId="165" fontId="5" fillId="2" borderId="11" xfId="1" applyFont="1" applyFill="1" applyBorder="1" applyAlignment="1">
      <alignment horizontal="center" vertical="center"/>
    </xf>
    <xf numFmtId="165" fontId="5" fillId="2" borderId="12" xfId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18" fillId="0" borderId="0" xfId="3" applyFont="1" applyAlignment="1">
      <alignment horizontal="center"/>
    </xf>
    <xf numFmtId="0" fontId="27" fillId="15" borderId="13" xfId="0" applyFont="1" applyFill="1" applyBorder="1" applyAlignment="1">
      <alignment horizontal="center"/>
    </xf>
    <xf numFmtId="0" fontId="27" fillId="15" borderId="15" xfId="0" applyFont="1" applyFill="1" applyBorder="1" applyAlignment="1">
      <alignment horizontal="center"/>
    </xf>
  </cellXfs>
  <cellStyles count="5">
    <cellStyle name="Millares 2" xfId="4" xr:uid="{72CB9C24-47C5-4626-B802-C710D3D8B94C}"/>
    <cellStyle name="Moneda" xfId="1" builtinId="4"/>
    <cellStyle name="Normal" xfId="0" builtinId="0"/>
    <cellStyle name="Normal 2" xfId="3" xr:uid="{98E6B042-5328-448B-84C7-8529EB2EE1B6}"/>
    <cellStyle name="Porcentaje" xfId="2" builtinId="5"/>
  </cellStyles>
  <dxfs count="29"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19" formatCode="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19" formatCode="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19" formatCode="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19" formatCode="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</dxfs>
  <tableStyles count="1" defaultTableStyle="TableStyleMedium9" defaultPivotStyle="PivotStyleLight16">
    <tableStyle name="Invisible" pivot="0" table="0" count="0" xr9:uid="{CFAAAD1F-D96F-4349-B476-252F913F0C7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1/relationships/timelineCache" Target="timelineCaches/timelineCach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[Excel_project.xlsm]Tabla Grafico Dinamico!TablaDinámica1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Bernard MT Condensed" panose="02050806060905020404" pitchFamily="18" charset="0"/>
                <a:ea typeface="+mn-ea"/>
                <a:cs typeface="+mn-cs"/>
              </a:defRPr>
            </a:pPr>
            <a:r>
              <a:rPr lang="es-PE"/>
              <a:t>Cantidad de Ventas por Vendedor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6">
                  <a:lumMod val="50000"/>
                </a:schemeClr>
              </a:solidFill>
              <a:latin typeface="Bernard MT Condensed" panose="02050806060905020404" pitchFamily="18" charset="0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Bernard MT Condensed" panose="02050806060905020404" pitchFamily="18" charset="0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 Grafico Dinamico'!$B$15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'Tabla Grafico Dinamico'!$A$16:$A$19</c:f>
              <c:strCache>
                <c:ptCount val="3"/>
                <c:pt idx="0">
                  <c:v>Bellido</c:v>
                </c:pt>
                <c:pt idx="1">
                  <c:v>Rivera</c:v>
                </c:pt>
                <c:pt idx="2">
                  <c:v>Salazar</c:v>
                </c:pt>
              </c:strCache>
            </c:strRef>
          </c:cat>
          <c:val>
            <c:numRef>
              <c:f>'Tabla Grafico Dinamico'!$B$16:$B$19</c:f>
              <c:numCache>
                <c:formatCode>General</c:formatCode>
                <c:ptCount val="3"/>
                <c:pt idx="0">
                  <c:v>3089</c:v>
                </c:pt>
                <c:pt idx="1">
                  <c:v>3440</c:v>
                </c:pt>
                <c:pt idx="2">
                  <c:v>2990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61-4C86-86D9-3F5FD086F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5900015"/>
        <c:axId val="1625897103"/>
      </c:barChart>
      <c:catAx>
        <c:axId val="1625900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6">
                    <a:lumMod val="50000"/>
                  </a:schemeClr>
                </a:solidFill>
                <a:latin typeface="Bernard MT Condensed" panose="02050806060905020404" pitchFamily="18" charset="0"/>
                <a:ea typeface="+mn-ea"/>
                <a:cs typeface="+mn-cs"/>
              </a:defRPr>
            </a:pPr>
            <a:endParaRPr lang="es-PE"/>
          </a:p>
        </c:txPr>
        <c:crossAx val="1625897103"/>
        <c:crosses val="autoZero"/>
        <c:auto val="1"/>
        <c:lblAlgn val="ctr"/>
        <c:lblOffset val="100"/>
        <c:noMultiLvlLbl val="0"/>
      </c:catAx>
      <c:valAx>
        <c:axId val="16258971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6">
                    <a:lumMod val="50000"/>
                  </a:schemeClr>
                </a:solidFill>
                <a:latin typeface="Bernard MT Condensed" panose="02050806060905020404" pitchFamily="18" charset="0"/>
                <a:ea typeface="+mn-ea"/>
                <a:cs typeface="+mn-cs"/>
              </a:defRPr>
            </a:pPr>
            <a:endParaRPr lang="es-PE"/>
          </a:p>
        </c:txPr>
        <c:crossAx val="1625900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6">
              <a:lumMod val="50000"/>
            </a:schemeClr>
          </a:solidFill>
          <a:latin typeface="Bernard MT Condensed" panose="02050806060905020404" pitchFamily="18" charset="0"/>
        </a:defRPr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[Excel_project.xlsm]Tabla Grafico Dinamico!TablaDinámica2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Bernard MT Condensed" panose="02050806060905020404" pitchFamily="18" charset="0"/>
                <a:ea typeface="+mn-ea"/>
                <a:cs typeface="+mn-cs"/>
              </a:defRPr>
            </a:pPr>
            <a:r>
              <a:rPr lang="es-PE"/>
              <a:t>Total de Ventas por Vendedor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6">
                  <a:lumMod val="50000"/>
                </a:schemeClr>
              </a:solidFill>
              <a:latin typeface="Bernard MT Condensed" panose="02050806060905020404" pitchFamily="18" charset="0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Bernard MT Condensed" panose="02050806060905020404" pitchFamily="18" charset="0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 Grafico Dinamico'!$B$30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'Tabla Grafico Dinamico'!$A$31:$A$34</c:f>
              <c:strCache>
                <c:ptCount val="3"/>
                <c:pt idx="0">
                  <c:v>Bellido</c:v>
                </c:pt>
                <c:pt idx="1">
                  <c:v>Rivera</c:v>
                </c:pt>
                <c:pt idx="2">
                  <c:v>Salazar</c:v>
                </c:pt>
              </c:strCache>
            </c:strRef>
          </c:cat>
          <c:val>
            <c:numRef>
              <c:f>'Tabla Grafico Dinamico'!$B$31:$B$34</c:f>
              <c:numCache>
                <c:formatCode>General</c:formatCode>
                <c:ptCount val="3"/>
                <c:pt idx="0">
                  <c:v>2280180</c:v>
                </c:pt>
                <c:pt idx="1">
                  <c:v>2553350</c:v>
                </c:pt>
                <c:pt idx="2">
                  <c:v>2352600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E-4ADD-AF2B-140678236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58878447"/>
        <c:axId val="1358879279"/>
      </c:barChart>
      <c:catAx>
        <c:axId val="13588784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6">
                    <a:lumMod val="50000"/>
                  </a:schemeClr>
                </a:solidFill>
                <a:latin typeface="Bernard MT Condensed" panose="02050806060905020404" pitchFamily="18" charset="0"/>
                <a:ea typeface="+mn-ea"/>
                <a:cs typeface="+mn-cs"/>
              </a:defRPr>
            </a:pPr>
            <a:endParaRPr lang="es-PE"/>
          </a:p>
        </c:txPr>
        <c:crossAx val="1358879279"/>
        <c:crosses val="autoZero"/>
        <c:auto val="1"/>
        <c:lblAlgn val="ctr"/>
        <c:lblOffset val="100"/>
        <c:noMultiLvlLbl val="0"/>
      </c:catAx>
      <c:valAx>
        <c:axId val="1358879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6">
                    <a:lumMod val="50000"/>
                  </a:schemeClr>
                </a:solidFill>
                <a:latin typeface="Bernard MT Condensed" panose="02050806060905020404" pitchFamily="18" charset="0"/>
                <a:ea typeface="+mn-ea"/>
                <a:cs typeface="+mn-cs"/>
              </a:defRPr>
            </a:pPr>
            <a:endParaRPr lang="es-PE"/>
          </a:p>
        </c:txPr>
        <c:crossAx val="1358878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6">
              <a:lumMod val="50000"/>
            </a:schemeClr>
          </a:solidFill>
          <a:latin typeface="Bernard MT Condensed" panose="02050806060905020404" pitchFamily="18" charset="0"/>
        </a:defRPr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[Excel_project.xlsm]Tabla Grafico Dinamico!TablaDinámica3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accent6">
                    <a:lumMod val="50000"/>
                  </a:schemeClr>
                </a:solidFill>
                <a:latin typeface="Bernard MT Condensed" panose="02050806060905020404" pitchFamily="18" charset="0"/>
                <a:ea typeface="+mn-ea"/>
                <a:cs typeface="+mn-cs"/>
              </a:defRPr>
            </a:pPr>
            <a:r>
              <a:rPr lang="es-PE"/>
              <a:t>Cantidad de Ventas por Tienda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accent6">
                  <a:lumMod val="50000"/>
                </a:schemeClr>
              </a:solidFill>
              <a:latin typeface="Bernard MT Condensed" panose="02050806060905020404" pitchFamily="18" charset="0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Bernard MT Condensed" panose="02050806060905020404" pitchFamily="18" charset="0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gradFill rotWithShape="1">
            <a:gsLst>
              <a:gs pos="0">
                <a:schemeClr val="accent6">
                  <a:shade val="65000"/>
                  <a:shade val="51000"/>
                  <a:satMod val="130000"/>
                </a:schemeClr>
              </a:gs>
              <a:gs pos="80000">
                <a:schemeClr val="accent6">
                  <a:shade val="65000"/>
                  <a:shade val="93000"/>
                  <a:satMod val="130000"/>
                </a:schemeClr>
              </a:gs>
              <a:gs pos="100000">
                <a:schemeClr val="accent6">
                  <a:shade val="65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2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3"/>
        <c:spPr>
          <a:gradFill rotWithShape="1">
            <a:gsLst>
              <a:gs pos="0">
                <a:schemeClr val="accent6">
                  <a:tint val="65000"/>
                  <a:shade val="51000"/>
                  <a:satMod val="130000"/>
                </a:schemeClr>
              </a:gs>
              <a:gs pos="80000">
                <a:schemeClr val="accent6">
                  <a:tint val="65000"/>
                  <a:shade val="93000"/>
                  <a:satMod val="130000"/>
                </a:schemeClr>
              </a:gs>
              <a:gs pos="100000">
                <a:schemeClr val="accent6">
                  <a:tint val="65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4"/>
        <c:spPr>
          <a:gradFill rotWithShape="1">
            <a:gsLst>
              <a:gs pos="0">
                <a:schemeClr val="accent6">
                  <a:shade val="65000"/>
                  <a:shade val="51000"/>
                  <a:satMod val="130000"/>
                </a:schemeClr>
              </a:gs>
              <a:gs pos="80000">
                <a:schemeClr val="accent6">
                  <a:shade val="65000"/>
                  <a:shade val="93000"/>
                  <a:satMod val="130000"/>
                </a:schemeClr>
              </a:gs>
              <a:gs pos="100000">
                <a:schemeClr val="accent6">
                  <a:shade val="65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5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6"/>
        <c:spPr>
          <a:gradFill rotWithShape="1">
            <a:gsLst>
              <a:gs pos="0">
                <a:schemeClr val="accent6">
                  <a:tint val="65000"/>
                  <a:shade val="51000"/>
                  <a:satMod val="130000"/>
                </a:schemeClr>
              </a:gs>
              <a:gs pos="80000">
                <a:schemeClr val="accent6">
                  <a:tint val="65000"/>
                  <a:shade val="93000"/>
                  <a:satMod val="130000"/>
                </a:schemeClr>
              </a:gs>
              <a:gs pos="100000">
                <a:schemeClr val="accent6">
                  <a:tint val="65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7"/>
        <c:spPr>
          <a:gradFill rotWithShape="1">
            <a:gsLst>
              <a:gs pos="0">
                <a:schemeClr val="accent6">
                  <a:shade val="65000"/>
                  <a:shade val="51000"/>
                  <a:satMod val="130000"/>
                </a:schemeClr>
              </a:gs>
              <a:gs pos="80000">
                <a:schemeClr val="accent6">
                  <a:shade val="65000"/>
                  <a:shade val="93000"/>
                  <a:satMod val="130000"/>
                </a:schemeClr>
              </a:gs>
              <a:gs pos="100000">
                <a:schemeClr val="accent6">
                  <a:shade val="65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8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9"/>
        <c:spPr>
          <a:gradFill rotWithShape="1">
            <a:gsLst>
              <a:gs pos="0">
                <a:schemeClr val="accent6">
                  <a:tint val="65000"/>
                  <a:shade val="51000"/>
                  <a:satMod val="130000"/>
                </a:schemeClr>
              </a:gs>
              <a:gs pos="80000">
                <a:schemeClr val="accent6">
                  <a:tint val="65000"/>
                  <a:shade val="93000"/>
                  <a:satMod val="130000"/>
                </a:schemeClr>
              </a:gs>
              <a:gs pos="100000">
                <a:schemeClr val="accent6">
                  <a:tint val="65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'Tabla Grafico Dinamico'!$B$46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hade val="65000"/>
                      <a:shade val="51000"/>
                      <a:satMod val="130000"/>
                    </a:schemeClr>
                  </a:gs>
                  <a:gs pos="80000">
                    <a:schemeClr val="accent6">
                      <a:shade val="65000"/>
                      <a:shade val="93000"/>
                      <a:satMod val="130000"/>
                    </a:schemeClr>
                  </a:gs>
                  <a:gs pos="100000">
                    <a:schemeClr val="accent6">
                      <a:shade val="65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C628-405E-B5DF-1A06C0A6DF5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C628-405E-B5DF-1A06C0A6DF5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tint val="65000"/>
                      <a:shade val="51000"/>
                      <a:satMod val="130000"/>
                    </a:schemeClr>
                  </a:gs>
                  <a:gs pos="80000">
                    <a:schemeClr val="accent6">
                      <a:tint val="65000"/>
                      <a:shade val="93000"/>
                      <a:satMod val="130000"/>
                    </a:schemeClr>
                  </a:gs>
                  <a:gs pos="100000">
                    <a:schemeClr val="accent6">
                      <a:tint val="65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C628-405E-B5DF-1A06C0A6DF5B}"/>
              </c:ext>
            </c:extLst>
          </c:dPt>
          <c:dLbls>
            <c:spPr>
              <a:noFill/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Bernard MT Condensed" panose="02050806060905020404" pitchFamily="18" charset="0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'Tabla Grafico Dinamico'!$A$47:$A$50</c:f>
              <c:strCache>
                <c:ptCount val="3"/>
                <c:pt idx="0">
                  <c:v>Carsa</c:v>
                </c:pt>
                <c:pt idx="1">
                  <c:v>Elektra</c:v>
                </c:pt>
                <c:pt idx="2">
                  <c:v>Hiraoka</c:v>
                </c:pt>
              </c:strCache>
            </c:strRef>
          </c:cat>
          <c:val>
            <c:numRef>
              <c:f>'Tabla Grafico Dinamico'!$B$47:$B$50</c:f>
              <c:numCache>
                <c:formatCode>General</c:formatCode>
                <c:ptCount val="3"/>
                <c:pt idx="0">
                  <c:v>3105</c:v>
                </c:pt>
                <c:pt idx="1">
                  <c:v>3532</c:v>
                </c:pt>
                <c:pt idx="2">
                  <c:v>2882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14-41A9-9947-FF477BCAC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6">
              <a:lumMod val="50000"/>
            </a:schemeClr>
          </a:solidFill>
          <a:latin typeface="Bernard MT Condensed" panose="02050806060905020404" pitchFamily="18" charset="0"/>
        </a:defRPr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[Excel_project.xlsm]Tabla Grafico Dinamico!TablaDinámica4</c:name>
    <c:fmtId val="3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Bernard MT Condensed" panose="02050806060905020404" pitchFamily="18" charset="0"/>
                <a:ea typeface="+mn-ea"/>
                <a:cs typeface="+mn-cs"/>
              </a:defRPr>
            </a:pPr>
            <a:r>
              <a:rPr lang="en-US"/>
              <a:t>Total de Ventas por Artículo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6">
                  <a:lumMod val="50000"/>
                </a:schemeClr>
              </a:solidFill>
              <a:latin typeface="Bernard MT Condensed" panose="02050806060905020404" pitchFamily="18" charset="0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Bernard MT Condensed" panose="02050806060905020404" pitchFamily="18" charset="0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'Tabla Grafico Dinamico'!$B$61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'Tabla Grafico Dinamico'!$A$62:$A$65</c:f>
              <c:strCache>
                <c:ptCount val="3"/>
                <c:pt idx="0">
                  <c:v>Lavadora</c:v>
                </c:pt>
                <c:pt idx="1">
                  <c:v>Refrigerador</c:v>
                </c:pt>
                <c:pt idx="2">
                  <c:v>Televisor</c:v>
                </c:pt>
              </c:strCache>
            </c:strRef>
          </c:cat>
          <c:val>
            <c:numRef>
              <c:f>'Tabla Grafico Dinamico'!$B$62:$B$65</c:f>
              <c:numCache>
                <c:formatCode>General</c:formatCode>
                <c:ptCount val="3"/>
                <c:pt idx="0">
                  <c:v>2368200</c:v>
                </c:pt>
                <c:pt idx="1">
                  <c:v>3025600</c:v>
                </c:pt>
                <c:pt idx="2">
                  <c:v>1792330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48-4209-923F-34ED473AE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7588735"/>
        <c:axId val="1727591231"/>
      </c:barChart>
      <c:catAx>
        <c:axId val="1727588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6">
                    <a:lumMod val="50000"/>
                  </a:schemeClr>
                </a:solidFill>
                <a:latin typeface="Bernard MT Condensed" panose="02050806060905020404" pitchFamily="18" charset="0"/>
                <a:ea typeface="+mn-ea"/>
                <a:cs typeface="+mn-cs"/>
              </a:defRPr>
            </a:pPr>
            <a:endParaRPr lang="es-PE"/>
          </a:p>
        </c:txPr>
        <c:crossAx val="1727591231"/>
        <c:crosses val="autoZero"/>
        <c:auto val="1"/>
        <c:lblAlgn val="ctr"/>
        <c:lblOffset val="100"/>
        <c:noMultiLvlLbl val="0"/>
      </c:catAx>
      <c:valAx>
        <c:axId val="17275912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6">
                    <a:lumMod val="50000"/>
                  </a:schemeClr>
                </a:solidFill>
                <a:latin typeface="Bernard MT Condensed" panose="02050806060905020404" pitchFamily="18" charset="0"/>
                <a:ea typeface="+mn-ea"/>
                <a:cs typeface="+mn-cs"/>
              </a:defRPr>
            </a:pPr>
            <a:endParaRPr lang="es-PE"/>
          </a:p>
        </c:txPr>
        <c:crossAx val="1727588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6">
              <a:lumMod val="50000"/>
            </a:schemeClr>
          </a:solidFill>
          <a:latin typeface="Bernard MT Condensed" panose="02050806060905020404" pitchFamily="18" charset="0"/>
        </a:defRPr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[Excel_project.xlsm]Tabla Grafico Dinamico!TablaDinámica1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Bernard MT Condensed" panose="02050806060905020404" pitchFamily="18" charset="0"/>
                <a:ea typeface="+mn-ea"/>
                <a:cs typeface="+mn-cs"/>
              </a:defRPr>
            </a:pPr>
            <a:r>
              <a:rPr lang="es-PE"/>
              <a:t>Cantidad de Ventas por Vendedor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6">
                  <a:lumMod val="50000"/>
                </a:schemeClr>
              </a:solidFill>
              <a:latin typeface="Bernard MT Condensed" panose="02050806060905020404" pitchFamily="18" charset="0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Bernard MT Condensed" panose="02050806060905020404" pitchFamily="18" charset="0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Bernard MT Condensed" panose="02050806060905020404" pitchFamily="18" charset="0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Bernard MT Condensed" panose="02050806060905020404" pitchFamily="18" charset="0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 Grafico Dinamico'!$B$15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'Tabla Grafico Dinamico'!$A$16:$A$19</c:f>
              <c:strCache>
                <c:ptCount val="3"/>
                <c:pt idx="0">
                  <c:v>Bellido</c:v>
                </c:pt>
                <c:pt idx="1">
                  <c:v>Rivera</c:v>
                </c:pt>
                <c:pt idx="2">
                  <c:v>Salazar</c:v>
                </c:pt>
              </c:strCache>
            </c:strRef>
          </c:cat>
          <c:val>
            <c:numRef>
              <c:f>'Tabla Grafico Dinamico'!$B$16:$B$19</c:f>
              <c:numCache>
                <c:formatCode>General</c:formatCode>
                <c:ptCount val="3"/>
                <c:pt idx="0">
                  <c:v>3089</c:v>
                </c:pt>
                <c:pt idx="1">
                  <c:v>3440</c:v>
                </c:pt>
                <c:pt idx="2">
                  <c:v>2990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1E-4959-9DDB-23148407F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5900015"/>
        <c:axId val="1625897103"/>
      </c:barChart>
      <c:catAx>
        <c:axId val="1625900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6">
                    <a:lumMod val="50000"/>
                  </a:schemeClr>
                </a:solidFill>
                <a:latin typeface="Bernard MT Condensed" panose="02050806060905020404" pitchFamily="18" charset="0"/>
                <a:ea typeface="+mn-ea"/>
                <a:cs typeface="+mn-cs"/>
              </a:defRPr>
            </a:pPr>
            <a:endParaRPr lang="es-PE"/>
          </a:p>
        </c:txPr>
        <c:crossAx val="1625897103"/>
        <c:crosses val="autoZero"/>
        <c:auto val="1"/>
        <c:lblAlgn val="ctr"/>
        <c:lblOffset val="100"/>
        <c:noMultiLvlLbl val="0"/>
      </c:catAx>
      <c:valAx>
        <c:axId val="16258971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6">
                    <a:lumMod val="50000"/>
                  </a:schemeClr>
                </a:solidFill>
                <a:latin typeface="Bernard MT Condensed" panose="02050806060905020404" pitchFamily="18" charset="0"/>
                <a:ea typeface="+mn-ea"/>
                <a:cs typeface="+mn-cs"/>
              </a:defRPr>
            </a:pPr>
            <a:endParaRPr lang="es-PE"/>
          </a:p>
        </c:txPr>
        <c:crossAx val="1625900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accent6">
              <a:lumMod val="50000"/>
            </a:schemeClr>
          </a:solidFill>
          <a:latin typeface="Bernard MT Condensed" panose="02050806060905020404" pitchFamily="18" charset="0"/>
        </a:defRPr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[Excel_project.xlsm]Tabla Grafico Dinamico!TablaDinámica2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Bernard MT Condensed" panose="02050806060905020404" pitchFamily="18" charset="0"/>
                <a:ea typeface="+mn-ea"/>
                <a:cs typeface="+mn-cs"/>
              </a:defRPr>
            </a:pPr>
            <a:r>
              <a:rPr lang="es-PE"/>
              <a:t>Total de Ventas por Vendedor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6">
                  <a:lumMod val="50000"/>
                </a:schemeClr>
              </a:solidFill>
              <a:latin typeface="Bernard MT Condensed" panose="02050806060905020404" pitchFamily="18" charset="0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Bernard MT Condensed" panose="02050806060905020404" pitchFamily="18" charset="0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Bernard MT Condensed" panose="02050806060905020404" pitchFamily="18" charset="0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Bernard MT Condensed" panose="02050806060905020404" pitchFamily="18" charset="0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 Grafico Dinamico'!$B$30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'Tabla Grafico Dinamico'!$A$31:$A$34</c:f>
              <c:strCache>
                <c:ptCount val="3"/>
                <c:pt idx="0">
                  <c:v>Bellido</c:v>
                </c:pt>
                <c:pt idx="1">
                  <c:v>Rivera</c:v>
                </c:pt>
                <c:pt idx="2">
                  <c:v>Salazar</c:v>
                </c:pt>
              </c:strCache>
            </c:strRef>
          </c:cat>
          <c:val>
            <c:numRef>
              <c:f>'Tabla Grafico Dinamico'!$B$31:$B$34</c:f>
              <c:numCache>
                <c:formatCode>General</c:formatCode>
                <c:ptCount val="3"/>
                <c:pt idx="0">
                  <c:v>2280180</c:v>
                </c:pt>
                <c:pt idx="1">
                  <c:v>2553350</c:v>
                </c:pt>
                <c:pt idx="2">
                  <c:v>2352600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51-4EF4-B94A-F6B118CA68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58878447"/>
        <c:axId val="1358879279"/>
      </c:barChart>
      <c:catAx>
        <c:axId val="13588784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6">
                    <a:lumMod val="50000"/>
                  </a:schemeClr>
                </a:solidFill>
                <a:latin typeface="Bernard MT Condensed" panose="02050806060905020404" pitchFamily="18" charset="0"/>
                <a:ea typeface="+mn-ea"/>
                <a:cs typeface="+mn-cs"/>
              </a:defRPr>
            </a:pPr>
            <a:endParaRPr lang="es-PE"/>
          </a:p>
        </c:txPr>
        <c:crossAx val="1358879279"/>
        <c:crosses val="autoZero"/>
        <c:auto val="1"/>
        <c:lblAlgn val="ctr"/>
        <c:lblOffset val="100"/>
        <c:noMultiLvlLbl val="0"/>
      </c:catAx>
      <c:valAx>
        <c:axId val="1358879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6">
                    <a:lumMod val="50000"/>
                  </a:schemeClr>
                </a:solidFill>
                <a:latin typeface="Bernard MT Condensed" panose="02050806060905020404" pitchFamily="18" charset="0"/>
                <a:ea typeface="+mn-ea"/>
                <a:cs typeface="+mn-cs"/>
              </a:defRPr>
            </a:pPr>
            <a:endParaRPr lang="es-PE"/>
          </a:p>
        </c:txPr>
        <c:crossAx val="1358878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accent6">
              <a:lumMod val="50000"/>
            </a:schemeClr>
          </a:solidFill>
          <a:latin typeface="Bernard MT Condensed" panose="02050806060905020404" pitchFamily="18" charset="0"/>
        </a:defRPr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[Excel_project.xlsm]Tabla Grafico Dinamico!TablaDinámica3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accent6">
                    <a:lumMod val="50000"/>
                  </a:schemeClr>
                </a:solidFill>
                <a:latin typeface="Bernard MT Condensed" panose="02050806060905020404" pitchFamily="18" charset="0"/>
                <a:ea typeface="+mn-ea"/>
                <a:cs typeface="+mn-cs"/>
              </a:defRPr>
            </a:pPr>
            <a:r>
              <a:rPr lang="es-PE"/>
              <a:t>Cantidad de Ventas por Tienda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accent6">
                  <a:lumMod val="50000"/>
                </a:schemeClr>
              </a:solidFill>
              <a:latin typeface="Bernard MT Condensed" panose="02050806060905020404" pitchFamily="18" charset="0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Bernard MT Condensed" panose="02050806060905020404" pitchFamily="18" charset="0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Bernard MT Condensed" panose="02050806060905020404" pitchFamily="18" charset="0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gradFill rotWithShape="1">
            <a:gsLst>
              <a:gs pos="0">
                <a:schemeClr val="accent6">
                  <a:shade val="65000"/>
                  <a:shade val="51000"/>
                  <a:satMod val="130000"/>
                </a:schemeClr>
              </a:gs>
              <a:gs pos="80000">
                <a:schemeClr val="accent6">
                  <a:shade val="65000"/>
                  <a:shade val="93000"/>
                  <a:satMod val="130000"/>
                </a:schemeClr>
              </a:gs>
              <a:gs pos="100000">
                <a:schemeClr val="accent6">
                  <a:shade val="65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3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4"/>
        <c:spPr>
          <a:gradFill rotWithShape="1">
            <a:gsLst>
              <a:gs pos="0">
                <a:schemeClr val="accent6">
                  <a:tint val="65000"/>
                  <a:shade val="51000"/>
                  <a:satMod val="130000"/>
                </a:schemeClr>
              </a:gs>
              <a:gs pos="80000">
                <a:schemeClr val="accent6">
                  <a:tint val="65000"/>
                  <a:shade val="93000"/>
                  <a:satMod val="130000"/>
                </a:schemeClr>
              </a:gs>
              <a:gs pos="100000">
                <a:schemeClr val="accent6">
                  <a:tint val="65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5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Bernard MT Condensed" panose="02050806060905020404" pitchFamily="18" charset="0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gradFill rotWithShape="1">
            <a:gsLst>
              <a:gs pos="0">
                <a:schemeClr val="accent6">
                  <a:shade val="65000"/>
                  <a:shade val="51000"/>
                  <a:satMod val="130000"/>
                </a:schemeClr>
              </a:gs>
              <a:gs pos="80000">
                <a:schemeClr val="accent6">
                  <a:shade val="65000"/>
                  <a:shade val="93000"/>
                  <a:satMod val="130000"/>
                </a:schemeClr>
              </a:gs>
              <a:gs pos="100000">
                <a:schemeClr val="accent6">
                  <a:shade val="65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7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8"/>
        <c:spPr>
          <a:gradFill rotWithShape="1">
            <a:gsLst>
              <a:gs pos="0">
                <a:schemeClr val="accent6">
                  <a:tint val="65000"/>
                  <a:shade val="51000"/>
                  <a:satMod val="130000"/>
                </a:schemeClr>
              </a:gs>
              <a:gs pos="80000">
                <a:schemeClr val="accent6">
                  <a:tint val="65000"/>
                  <a:shade val="93000"/>
                  <a:satMod val="130000"/>
                </a:schemeClr>
              </a:gs>
              <a:gs pos="100000">
                <a:schemeClr val="accent6">
                  <a:tint val="65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'Tabla Grafico Dinamico'!$B$46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hade val="65000"/>
                      <a:shade val="51000"/>
                      <a:satMod val="130000"/>
                    </a:schemeClr>
                  </a:gs>
                  <a:gs pos="80000">
                    <a:schemeClr val="accent6">
                      <a:shade val="65000"/>
                      <a:shade val="93000"/>
                      <a:satMod val="130000"/>
                    </a:schemeClr>
                  </a:gs>
                  <a:gs pos="100000">
                    <a:schemeClr val="accent6">
                      <a:shade val="65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7189-444A-BFAE-10E2B37148C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7189-444A-BFAE-10E2B37148CC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tint val="65000"/>
                      <a:shade val="51000"/>
                      <a:satMod val="130000"/>
                    </a:schemeClr>
                  </a:gs>
                  <a:gs pos="80000">
                    <a:schemeClr val="accent6">
                      <a:tint val="65000"/>
                      <a:shade val="93000"/>
                      <a:satMod val="130000"/>
                    </a:schemeClr>
                  </a:gs>
                  <a:gs pos="100000">
                    <a:schemeClr val="accent6">
                      <a:tint val="65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7189-444A-BFAE-10E2B37148CC}"/>
              </c:ext>
            </c:extLst>
          </c:dPt>
          <c:dLbls>
            <c:spPr>
              <a:noFill/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Bernard MT Condensed" panose="02050806060905020404" pitchFamily="18" charset="0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'Tabla Grafico Dinamico'!$A$47:$A$50</c:f>
              <c:strCache>
                <c:ptCount val="3"/>
                <c:pt idx="0">
                  <c:v>Carsa</c:v>
                </c:pt>
                <c:pt idx="1">
                  <c:v>Elektra</c:v>
                </c:pt>
                <c:pt idx="2">
                  <c:v>Hiraoka</c:v>
                </c:pt>
              </c:strCache>
            </c:strRef>
          </c:cat>
          <c:val>
            <c:numRef>
              <c:f>'Tabla Grafico Dinamico'!$B$47:$B$50</c:f>
              <c:numCache>
                <c:formatCode>General</c:formatCode>
                <c:ptCount val="3"/>
                <c:pt idx="0">
                  <c:v>3105</c:v>
                </c:pt>
                <c:pt idx="1">
                  <c:v>3532</c:v>
                </c:pt>
                <c:pt idx="2">
                  <c:v>2882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89-444A-BFAE-10E2B3714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accent6">
              <a:lumMod val="50000"/>
            </a:schemeClr>
          </a:solidFill>
          <a:latin typeface="Bernard MT Condensed" panose="02050806060905020404" pitchFamily="18" charset="0"/>
        </a:defRPr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[Excel_project.xlsm]Tabla Grafico Dinamico!TablaDinámica4</c:name>
    <c:fmtId val="3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Bernard MT Condensed" panose="02050806060905020404" pitchFamily="18" charset="0"/>
                <a:ea typeface="+mn-ea"/>
                <a:cs typeface="+mn-cs"/>
              </a:defRPr>
            </a:pPr>
            <a:r>
              <a:rPr lang="en-US"/>
              <a:t>Total de Ventas por Artículo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6">
                  <a:lumMod val="50000"/>
                </a:schemeClr>
              </a:solidFill>
              <a:latin typeface="Bernard MT Condensed" panose="02050806060905020404" pitchFamily="18" charset="0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Bernard MT Condensed" panose="02050806060905020404" pitchFamily="18" charset="0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Bernard MT Condensed" panose="02050806060905020404" pitchFamily="18" charset="0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Bernard MT Condensed" panose="02050806060905020404" pitchFamily="18" charset="0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'Tabla Grafico Dinamico'!$B$61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'Tabla Grafico Dinamico'!$A$62:$A$65</c:f>
              <c:strCache>
                <c:ptCount val="3"/>
                <c:pt idx="0">
                  <c:v>Lavadora</c:v>
                </c:pt>
                <c:pt idx="1">
                  <c:v>Refrigerador</c:v>
                </c:pt>
                <c:pt idx="2">
                  <c:v>Televisor</c:v>
                </c:pt>
              </c:strCache>
            </c:strRef>
          </c:cat>
          <c:val>
            <c:numRef>
              <c:f>'Tabla Grafico Dinamico'!$B$62:$B$65</c:f>
              <c:numCache>
                <c:formatCode>General</c:formatCode>
                <c:ptCount val="3"/>
                <c:pt idx="0">
                  <c:v>2368200</c:v>
                </c:pt>
                <c:pt idx="1">
                  <c:v>3025600</c:v>
                </c:pt>
                <c:pt idx="2">
                  <c:v>1792330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E0-40D8-8BE8-5073240309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7588735"/>
        <c:axId val="1727591231"/>
      </c:barChart>
      <c:catAx>
        <c:axId val="1727588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6">
                    <a:lumMod val="50000"/>
                  </a:schemeClr>
                </a:solidFill>
                <a:latin typeface="Bernard MT Condensed" panose="02050806060905020404" pitchFamily="18" charset="0"/>
                <a:ea typeface="+mn-ea"/>
                <a:cs typeface="+mn-cs"/>
              </a:defRPr>
            </a:pPr>
            <a:endParaRPr lang="es-PE"/>
          </a:p>
        </c:txPr>
        <c:crossAx val="1727591231"/>
        <c:crosses val="autoZero"/>
        <c:auto val="1"/>
        <c:lblAlgn val="ctr"/>
        <c:lblOffset val="100"/>
        <c:noMultiLvlLbl val="0"/>
      </c:catAx>
      <c:valAx>
        <c:axId val="17275912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6">
                    <a:lumMod val="50000"/>
                  </a:schemeClr>
                </a:solidFill>
                <a:latin typeface="Bernard MT Condensed" panose="02050806060905020404" pitchFamily="18" charset="0"/>
                <a:ea typeface="+mn-ea"/>
                <a:cs typeface="+mn-cs"/>
              </a:defRPr>
            </a:pPr>
            <a:endParaRPr lang="es-PE"/>
          </a:p>
        </c:txPr>
        <c:crossAx val="1727588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accent6">
              <a:lumMod val="50000"/>
            </a:schemeClr>
          </a:solidFill>
          <a:latin typeface="Bernard MT Condensed" panose="02050806060905020404" pitchFamily="18" charset="0"/>
        </a:defRPr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31" fmlaLink="C14" fmlaRange="Tablitas!$A$2:$A$6" noThreeD="1" sel="3" val="0"/>
</file>

<file path=xl/ctrlProps/ctrlProp6.xml><?xml version="1.0" encoding="utf-8"?>
<formControlPr xmlns="http://schemas.microsoft.com/office/spreadsheetml/2009/9/main" objectType="Drop" dropStyle="combo" dx="31" fmlaLink="H10" fmlaRange="Tablitas!$B$2:$B$3" noThreeD="1" sel="0" val="0"/>
</file>

<file path=xl/ctrlProps/ctrlProp7.xml><?xml version="1.0" encoding="utf-8"?>
<formControlPr xmlns="http://schemas.microsoft.com/office/spreadsheetml/2009/9/main" objectType="Drop" dropStyle="combo" dx="31" fmlaLink="H12" fmlaRange="Tablitas!$C$2:$C$3" noThreeD="1" sel="0" val="0"/>
</file>

<file path=xl/ctrlProps/ctrlProp8.xml><?xml version="1.0" encoding="utf-8"?>
<formControlPr xmlns="http://schemas.microsoft.com/office/spreadsheetml/2009/9/main" objectType="Drop" dropStyle="combo" dx="31" fmlaLink="H14" fmlaRange="Tablitas!$D$2:$D$4" noThreeD="1" sel="0" val="0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Style="combo" dx="31" fmlaLink="C6" fmlaRange="Tabla!$F$2:$F$16" noThreeD="1" sel="9" val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g"/><Relationship Id="rId13" Type="http://schemas.openxmlformats.org/officeDocument/2006/relationships/image" Target="../media/image16.jpeg"/><Relationship Id="rId3" Type="http://schemas.openxmlformats.org/officeDocument/2006/relationships/image" Target="../media/image6.jpg"/><Relationship Id="rId7" Type="http://schemas.openxmlformats.org/officeDocument/2006/relationships/image" Target="../media/image10.jpg"/><Relationship Id="rId12" Type="http://schemas.openxmlformats.org/officeDocument/2006/relationships/image" Target="../media/image15.jpeg"/><Relationship Id="rId2" Type="http://schemas.openxmlformats.org/officeDocument/2006/relationships/image" Target="../media/image5.jpg"/><Relationship Id="rId1" Type="http://schemas.openxmlformats.org/officeDocument/2006/relationships/image" Target="../media/image4.jpg"/><Relationship Id="rId6" Type="http://schemas.openxmlformats.org/officeDocument/2006/relationships/image" Target="../media/image9.jpg"/><Relationship Id="rId11" Type="http://schemas.openxmlformats.org/officeDocument/2006/relationships/image" Target="../media/image14.jpeg"/><Relationship Id="rId5" Type="http://schemas.openxmlformats.org/officeDocument/2006/relationships/image" Target="../media/image8.jpg"/><Relationship Id="rId10" Type="http://schemas.openxmlformats.org/officeDocument/2006/relationships/image" Target="../media/image13.jpeg"/><Relationship Id="rId4" Type="http://schemas.openxmlformats.org/officeDocument/2006/relationships/image" Target="../media/image7.jpg"/><Relationship Id="rId9" Type="http://schemas.openxmlformats.org/officeDocument/2006/relationships/image" Target="../media/image12.jpg"/><Relationship Id="rId14" Type="http://schemas.openxmlformats.org/officeDocument/2006/relationships/image" Target="../media/image17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347041</xdr:colOff>
      <xdr:row>15</xdr:row>
      <xdr:rowOff>24020</xdr:rowOff>
    </xdr:from>
    <xdr:to>
      <xdr:col>3</xdr:col>
      <xdr:colOff>632791</xdr:colOff>
      <xdr:row>17</xdr:row>
      <xdr:rowOff>71645</xdr:rowOff>
    </xdr:to>
    <xdr:sp macro="[0]!Consulta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09041" y="3726346"/>
          <a:ext cx="1809750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/>
            <a:t>Consulta</a:t>
          </a:r>
        </a:p>
      </xdr:txBody>
    </xdr:sp>
    <xdr:clientData/>
  </xdr:twoCellAnchor>
  <xdr:twoCellAnchor>
    <xdr:from>
      <xdr:col>4</xdr:col>
      <xdr:colOff>602974</xdr:colOff>
      <xdr:row>15</xdr:row>
      <xdr:rowOff>24020</xdr:rowOff>
    </xdr:from>
    <xdr:to>
      <xdr:col>7</xdr:col>
      <xdr:colOff>126724</xdr:colOff>
      <xdr:row>17</xdr:row>
      <xdr:rowOff>71645</xdr:rowOff>
    </xdr:to>
    <xdr:sp macro="[0]!Registro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650974" y="3726346"/>
          <a:ext cx="1809750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/>
            <a:t>Registro</a:t>
          </a:r>
        </a:p>
      </xdr:txBody>
    </xdr:sp>
    <xdr:clientData/>
  </xdr:twoCellAnchor>
  <xdr:twoCellAnchor editAs="oneCell">
    <xdr:from>
      <xdr:col>1</xdr:col>
      <xdr:colOff>9525</xdr:colOff>
      <xdr:row>2</xdr:row>
      <xdr:rowOff>180975</xdr:rowOff>
    </xdr:from>
    <xdr:to>
      <xdr:col>5</xdr:col>
      <xdr:colOff>352425</xdr:colOff>
      <xdr:row>12</xdr:row>
      <xdr:rowOff>186182</xdr:rowOff>
    </xdr:to>
    <xdr:pic>
      <xdr:nvPicPr>
        <xdr:cNvPr id="5" name="Imagen 4" descr="Resultado de imagen para emplead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95525" y="1362075"/>
          <a:ext cx="3390900" cy="19102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381000</xdr:colOff>
      <xdr:row>2</xdr:row>
      <xdr:rowOff>169773</xdr:rowOff>
    </xdr:from>
    <xdr:to>
      <xdr:col>10</xdr:col>
      <xdr:colOff>28574</xdr:colOff>
      <xdr:row>13</xdr:row>
      <xdr:rowOff>21037</xdr:rowOff>
    </xdr:to>
    <xdr:pic>
      <xdr:nvPicPr>
        <xdr:cNvPr id="6" name="Imagen 5" descr="Resultado de imagen para emplead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0" y="1350873"/>
          <a:ext cx="3457574" cy="1946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504825</xdr:colOff>
      <xdr:row>3</xdr:row>
      <xdr:rowOff>5766</xdr:rowOff>
    </xdr:from>
    <xdr:to>
      <xdr:col>12</xdr:col>
      <xdr:colOff>38100</xdr:colOff>
      <xdr:row>13</xdr:row>
      <xdr:rowOff>49635</xdr:rowOff>
    </xdr:to>
    <xdr:pic>
      <xdr:nvPicPr>
        <xdr:cNvPr id="7" name="Imagen 6" descr="Resultado de imagen para emplead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137"/>
        <a:stretch/>
      </xdr:blipFill>
      <xdr:spPr bwMode="auto">
        <a:xfrm>
          <a:off x="8886825" y="1377366"/>
          <a:ext cx="1819275" cy="19488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96907</xdr:colOff>
      <xdr:row>15</xdr:row>
      <xdr:rowOff>24020</xdr:rowOff>
    </xdr:from>
    <xdr:to>
      <xdr:col>10</xdr:col>
      <xdr:colOff>382657</xdr:colOff>
      <xdr:row>17</xdr:row>
      <xdr:rowOff>71645</xdr:rowOff>
    </xdr:to>
    <xdr:sp macro="[0]!InformeDinamico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192907" y="3726346"/>
          <a:ext cx="1809750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/>
            <a:t>Informe Dinamico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22086</xdr:colOff>
      <xdr:row>4</xdr:row>
      <xdr:rowOff>25462</xdr:rowOff>
    </xdr:from>
    <xdr:to>
      <xdr:col>12</xdr:col>
      <xdr:colOff>778565</xdr:colOff>
      <xdr:row>4</xdr:row>
      <xdr:rowOff>999435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33086" y="3255679"/>
          <a:ext cx="756479" cy="973973"/>
        </a:xfrm>
        <a:prstGeom prst="rect">
          <a:avLst/>
        </a:prstGeom>
      </xdr:spPr>
    </xdr:pic>
    <xdr:clientData/>
  </xdr:twoCellAnchor>
  <xdr:twoCellAnchor editAs="oneCell">
    <xdr:from>
      <xdr:col>12</xdr:col>
      <xdr:colOff>36394</xdr:colOff>
      <xdr:row>2</xdr:row>
      <xdr:rowOff>31896</xdr:rowOff>
    </xdr:from>
    <xdr:to>
      <xdr:col>12</xdr:col>
      <xdr:colOff>773043</xdr:colOff>
      <xdr:row>2</xdr:row>
      <xdr:rowOff>988392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7394" y="1230113"/>
          <a:ext cx="736649" cy="956496"/>
        </a:xfrm>
        <a:prstGeom prst="rect">
          <a:avLst/>
        </a:prstGeom>
      </xdr:spPr>
    </xdr:pic>
    <xdr:clientData/>
  </xdr:twoCellAnchor>
  <xdr:twoCellAnchor editAs="oneCell">
    <xdr:from>
      <xdr:col>12</xdr:col>
      <xdr:colOff>32604</xdr:colOff>
      <xdr:row>7</xdr:row>
      <xdr:rowOff>33131</xdr:rowOff>
    </xdr:from>
    <xdr:to>
      <xdr:col>12</xdr:col>
      <xdr:colOff>784087</xdr:colOff>
      <xdr:row>7</xdr:row>
      <xdr:rowOff>993868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3604" y="6311348"/>
          <a:ext cx="751483" cy="960737"/>
        </a:xfrm>
        <a:prstGeom prst="rect">
          <a:avLst/>
        </a:prstGeom>
      </xdr:spPr>
    </xdr:pic>
    <xdr:clientData/>
  </xdr:twoCellAnchor>
  <xdr:twoCellAnchor editAs="oneCell">
    <xdr:from>
      <xdr:col>12</xdr:col>
      <xdr:colOff>38654</xdr:colOff>
      <xdr:row>5</xdr:row>
      <xdr:rowOff>29111</xdr:rowOff>
    </xdr:from>
    <xdr:to>
      <xdr:col>12</xdr:col>
      <xdr:colOff>789610</xdr:colOff>
      <xdr:row>5</xdr:row>
      <xdr:rowOff>993912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930" r="14035"/>
        <a:stretch/>
      </xdr:blipFill>
      <xdr:spPr>
        <a:xfrm>
          <a:off x="11849654" y="4275328"/>
          <a:ext cx="750956" cy="964801"/>
        </a:xfrm>
        <a:prstGeom prst="rect">
          <a:avLst/>
        </a:prstGeom>
      </xdr:spPr>
    </xdr:pic>
    <xdr:clientData/>
  </xdr:twoCellAnchor>
  <xdr:twoCellAnchor editAs="oneCell">
    <xdr:from>
      <xdr:col>12</xdr:col>
      <xdr:colOff>24491</xdr:colOff>
      <xdr:row>6</xdr:row>
      <xdr:rowOff>16567</xdr:rowOff>
    </xdr:from>
    <xdr:to>
      <xdr:col>12</xdr:col>
      <xdr:colOff>789609</xdr:colOff>
      <xdr:row>6</xdr:row>
      <xdr:rowOff>993913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259"/>
        <a:stretch/>
      </xdr:blipFill>
      <xdr:spPr>
        <a:xfrm>
          <a:off x="11835491" y="5278784"/>
          <a:ext cx="765118" cy="97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33131</xdr:colOff>
      <xdr:row>10</xdr:row>
      <xdr:rowOff>8853</xdr:rowOff>
    </xdr:from>
    <xdr:to>
      <xdr:col>12</xdr:col>
      <xdr:colOff>767522</xdr:colOff>
      <xdr:row>10</xdr:row>
      <xdr:rowOff>999434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657" r="13116"/>
        <a:stretch/>
      </xdr:blipFill>
      <xdr:spPr>
        <a:xfrm>
          <a:off x="11844131" y="9335070"/>
          <a:ext cx="734391" cy="990581"/>
        </a:xfrm>
        <a:prstGeom prst="rect">
          <a:avLst/>
        </a:prstGeom>
      </xdr:spPr>
    </xdr:pic>
    <xdr:clientData/>
  </xdr:twoCellAnchor>
  <xdr:twoCellAnchor editAs="oneCell">
    <xdr:from>
      <xdr:col>12</xdr:col>
      <xdr:colOff>22087</xdr:colOff>
      <xdr:row>9</xdr:row>
      <xdr:rowOff>26328</xdr:rowOff>
    </xdr:from>
    <xdr:to>
      <xdr:col>12</xdr:col>
      <xdr:colOff>778565</xdr:colOff>
      <xdr:row>9</xdr:row>
      <xdr:rowOff>999435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176" r="12021"/>
        <a:stretch/>
      </xdr:blipFill>
      <xdr:spPr>
        <a:xfrm>
          <a:off x="11833087" y="8336545"/>
          <a:ext cx="756478" cy="973107"/>
        </a:xfrm>
        <a:prstGeom prst="rect">
          <a:avLst/>
        </a:prstGeom>
      </xdr:spPr>
    </xdr:pic>
    <xdr:clientData/>
  </xdr:twoCellAnchor>
  <xdr:twoCellAnchor editAs="oneCell">
    <xdr:from>
      <xdr:col>12</xdr:col>
      <xdr:colOff>20713</xdr:colOff>
      <xdr:row>3</xdr:row>
      <xdr:rowOff>27243</xdr:rowOff>
    </xdr:from>
    <xdr:to>
      <xdr:col>12</xdr:col>
      <xdr:colOff>778565</xdr:colOff>
      <xdr:row>3</xdr:row>
      <xdr:rowOff>1004957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31713" y="2241460"/>
          <a:ext cx="757852" cy="977714"/>
        </a:xfrm>
        <a:prstGeom prst="rect">
          <a:avLst/>
        </a:prstGeom>
      </xdr:spPr>
    </xdr:pic>
    <xdr:clientData/>
  </xdr:twoCellAnchor>
  <xdr:twoCellAnchor editAs="oneCell">
    <xdr:from>
      <xdr:col>12</xdr:col>
      <xdr:colOff>30289</xdr:colOff>
      <xdr:row>1</xdr:row>
      <xdr:rowOff>23556</xdr:rowOff>
    </xdr:from>
    <xdr:to>
      <xdr:col>12</xdr:col>
      <xdr:colOff>776111</xdr:colOff>
      <xdr:row>1</xdr:row>
      <xdr:rowOff>973667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27178" y="207000"/>
          <a:ext cx="745822" cy="950111"/>
        </a:xfrm>
        <a:prstGeom prst="rect">
          <a:avLst/>
        </a:prstGeom>
      </xdr:spPr>
    </xdr:pic>
    <xdr:clientData/>
  </xdr:twoCellAnchor>
  <xdr:twoCellAnchor editAs="oneCell">
    <xdr:from>
      <xdr:col>12</xdr:col>
      <xdr:colOff>49696</xdr:colOff>
      <xdr:row>12</xdr:row>
      <xdr:rowOff>22088</xdr:rowOff>
    </xdr:from>
    <xdr:to>
      <xdr:col>12</xdr:col>
      <xdr:colOff>773044</xdr:colOff>
      <xdr:row>12</xdr:row>
      <xdr:rowOff>991154</xdr:rowOff>
    </xdr:to>
    <xdr:pic>
      <xdr:nvPicPr>
        <xdr:cNvPr id="26" name="Imagen 25" descr="Test de psicología: ¿eres una persona madura?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573" r="25802"/>
        <a:stretch/>
      </xdr:blipFill>
      <xdr:spPr bwMode="auto">
        <a:xfrm>
          <a:off x="11860696" y="11380305"/>
          <a:ext cx="723348" cy="9690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22086</xdr:colOff>
      <xdr:row>14</xdr:row>
      <xdr:rowOff>13828</xdr:rowOff>
    </xdr:from>
    <xdr:to>
      <xdr:col>12</xdr:col>
      <xdr:colOff>784087</xdr:colOff>
      <xdr:row>14</xdr:row>
      <xdr:rowOff>993914</xdr:rowOff>
    </xdr:to>
    <xdr:pic>
      <xdr:nvPicPr>
        <xdr:cNvPr id="28" name="Imagen 27" descr="Perfil de la persona resiliente - Mente y emociones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651" r="21739"/>
        <a:stretch/>
      </xdr:blipFill>
      <xdr:spPr bwMode="auto">
        <a:xfrm>
          <a:off x="11833086" y="13404045"/>
          <a:ext cx="762001" cy="9800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22088</xdr:colOff>
      <xdr:row>13</xdr:row>
      <xdr:rowOff>16566</xdr:rowOff>
    </xdr:from>
    <xdr:to>
      <xdr:col>12</xdr:col>
      <xdr:colOff>778565</xdr:colOff>
      <xdr:row>13</xdr:row>
      <xdr:rowOff>1004957</xdr:rowOff>
    </xdr:to>
    <xdr:pic>
      <xdr:nvPicPr>
        <xdr:cNvPr id="29" name="Imagen 28" descr="Cómo una persona con Asperger puede hacer una vida normal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099" r="33289"/>
        <a:stretch/>
      </xdr:blipFill>
      <xdr:spPr bwMode="auto">
        <a:xfrm>
          <a:off x="11833088" y="12390783"/>
          <a:ext cx="756477" cy="9883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22085</xdr:colOff>
      <xdr:row>11</xdr:row>
      <xdr:rowOff>5522</xdr:rowOff>
    </xdr:from>
    <xdr:to>
      <xdr:col>12</xdr:col>
      <xdr:colOff>773043</xdr:colOff>
      <xdr:row>11</xdr:row>
      <xdr:rowOff>999971</xdr:rowOff>
    </xdr:to>
    <xdr:pic>
      <xdr:nvPicPr>
        <xdr:cNvPr id="31" name="Imagen 30" descr="Fotos de Personas, +4.622.000 Fotos de stock gratuitas de gran calidad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964" r="35464"/>
        <a:stretch/>
      </xdr:blipFill>
      <xdr:spPr bwMode="auto">
        <a:xfrm>
          <a:off x="11833085" y="10347739"/>
          <a:ext cx="750958" cy="9944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16279</xdr:colOff>
      <xdr:row>8</xdr:row>
      <xdr:rowOff>20352</xdr:rowOff>
    </xdr:from>
    <xdr:to>
      <xdr:col>12</xdr:col>
      <xdr:colOff>792880</xdr:colOff>
      <xdr:row>8</xdr:row>
      <xdr:rowOff>1005420</xdr:rowOff>
    </xdr:to>
    <xdr:pic>
      <xdr:nvPicPr>
        <xdr:cNvPr id="40" name="Imagen 39" descr="Fotos de Una sola persona, Imágenes de Una sola persona ⬇ Descargar |  Depositphotos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11828907" y="7326923"/>
          <a:ext cx="776601" cy="9850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571500</xdr:colOff>
          <xdr:row>20</xdr:row>
          <xdr:rowOff>76200</xdr:rowOff>
        </xdr:from>
        <xdr:to>
          <xdr:col>2</xdr:col>
          <xdr:colOff>790575</xdr:colOff>
          <xdr:row>21</xdr:row>
          <xdr:rowOff>123825</xdr:rowOff>
        </xdr:to>
        <xdr:sp macro="" textlink="">
          <xdr:nvSpPr>
            <xdr:cNvPr id="4097" name="Button 9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20</xdr:row>
          <xdr:rowOff>76200</xdr:rowOff>
        </xdr:from>
        <xdr:to>
          <xdr:col>6</xdr:col>
          <xdr:colOff>647700</xdr:colOff>
          <xdr:row>21</xdr:row>
          <xdr:rowOff>123825</xdr:rowOff>
        </xdr:to>
        <xdr:sp macro="" textlink="">
          <xdr:nvSpPr>
            <xdr:cNvPr id="4098" name="Button 10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Vista Previa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1181100</xdr:colOff>
          <xdr:row>20</xdr:row>
          <xdr:rowOff>76200</xdr:rowOff>
        </xdr:from>
        <xdr:to>
          <xdr:col>4</xdr:col>
          <xdr:colOff>381000</xdr:colOff>
          <xdr:row>21</xdr:row>
          <xdr:rowOff>123825</xdr:rowOff>
        </xdr:to>
        <xdr:sp macro="" textlink="">
          <xdr:nvSpPr>
            <xdr:cNvPr id="4099" name="Button 9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Restablecer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20</xdr:row>
          <xdr:rowOff>76200</xdr:rowOff>
        </xdr:from>
        <xdr:to>
          <xdr:col>8</xdr:col>
          <xdr:colOff>647700</xdr:colOff>
          <xdr:row>21</xdr:row>
          <xdr:rowOff>123825</xdr:rowOff>
        </xdr:to>
        <xdr:sp macro="" textlink="">
          <xdr:nvSpPr>
            <xdr:cNvPr id="4100" name="Button 10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Principal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13</xdr:row>
          <xdr:rowOff>9525</xdr:rowOff>
        </xdr:from>
        <xdr:to>
          <xdr:col>2</xdr:col>
          <xdr:colOff>1162050</xdr:colOff>
          <xdr:row>13</xdr:row>
          <xdr:rowOff>180975</xdr:rowOff>
        </xdr:to>
        <xdr:sp macro="" textlink="">
          <xdr:nvSpPr>
            <xdr:cNvPr id="4101" name="Drop Dow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9525</xdr:rowOff>
        </xdr:from>
        <xdr:to>
          <xdr:col>7</xdr:col>
          <xdr:colOff>1133475</xdr:colOff>
          <xdr:row>9</xdr:row>
          <xdr:rowOff>180975</xdr:rowOff>
        </xdr:to>
        <xdr:sp macro="" textlink="">
          <xdr:nvSpPr>
            <xdr:cNvPr id="4102" name="Drop Dow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</xdr:row>
          <xdr:rowOff>9525</xdr:rowOff>
        </xdr:from>
        <xdr:to>
          <xdr:col>7</xdr:col>
          <xdr:colOff>1143000</xdr:colOff>
          <xdr:row>11</xdr:row>
          <xdr:rowOff>180975</xdr:rowOff>
        </xdr:to>
        <xdr:sp macro="" textlink="">
          <xdr:nvSpPr>
            <xdr:cNvPr id="4103" name="Drop Dow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13</xdr:row>
          <xdr:rowOff>9525</xdr:rowOff>
        </xdr:from>
        <xdr:to>
          <xdr:col>7</xdr:col>
          <xdr:colOff>1143000</xdr:colOff>
          <xdr:row>13</xdr:row>
          <xdr:rowOff>180975</xdr:rowOff>
        </xdr:to>
        <xdr:sp macro="" textlink="">
          <xdr:nvSpPr>
            <xdr:cNvPr id="4104" name="Drop Dow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676275</xdr:colOff>
          <xdr:row>4</xdr:row>
          <xdr:rowOff>66675</xdr:rowOff>
        </xdr:from>
        <xdr:to>
          <xdr:col>8</xdr:col>
          <xdr:colOff>95250</xdr:colOff>
          <xdr:row>15</xdr:row>
          <xdr:rowOff>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Datos Personales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676275</xdr:colOff>
          <xdr:row>15</xdr:row>
          <xdr:rowOff>123825</xdr:rowOff>
        </xdr:from>
        <xdr:to>
          <xdr:col>4</xdr:col>
          <xdr:colOff>209550</xdr:colOff>
          <xdr:row>24</xdr:row>
          <xdr:rowOff>76200</xdr:rowOff>
        </xdr:to>
        <xdr:sp macro="" textlink="">
          <xdr:nvSpPr>
            <xdr:cNvPr id="1026" name="Group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Remuneración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15</xdr:row>
          <xdr:rowOff>123825</xdr:rowOff>
        </xdr:from>
        <xdr:to>
          <xdr:col>8</xdr:col>
          <xdr:colOff>152400</xdr:colOff>
          <xdr:row>24</xdr:row>
          <xdr:rowOff>104775</xdr:rowOff>
        </xdr:to>
        <xdr:sp macro="" textlink="">
          <xdr:nvSpPr>
            <xdr:cNvPr id="1027" name="Group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Aportes y Descuentos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30</xdr:row>
          <xdr:rowOff>104775</xdr:rowOff>
        </xdr:from>
        <xdr:to>
          <xdr:col>2</xdr:col>
          <xdr:colOff>504825</xdr:colOff>
          <xdr:row>31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Restablecer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333375</xdr:colOff>
          <xdr:row>30</xdr:row>
          <xdr:rowOff>142875</xdr:rowOff>
        </xdr:from>
        <xdr:to>
          <xdr:col>5</xdr:col>
          <xdr:colOff>314325</xdr:colOff>
          <xdr:row>31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4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Vista Previa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30</xdr:row>
          <xdr:rowOff>123825</xdr:rowOff>
        </xdr:from>
        <xdr:to>
          <xdr:col>8</xdr:col>
          <xdr:colOff>114300</xdr:colOff>
          <xdr:row>31</xdr:row>
          <xdr:rowOff>171450</xdr:rowOff>
        </xdr:to>
        <xdr:sp macro="" textlink="">
          <xdr:nvSpPr>
            <xdr:cNvPr id="1035" name="Button 10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Principal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2</xdr:col>
          <xdr:colOff>952500</xdr:colOff>
          <xdr:row>6</xdr:row>
          <xdr:rowOff>0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4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25399</xdr:rowOff>
        </xdr:from>
        <xdr:to>
          <xdr:col>5</xdr:col>
          <xdr:colOff>44450</xdr:colOff>
          <xdr:row>12</xdr:row>
          <xdr:rowOff>190836</xdr:rowOff>
        </xdr:to>
        <xdr:pic>
          <xdr:nvPicPr>
            <xdr:cNvPr id="10" name="Imagen" hidden="1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Fotito" spid="_x0000_s1053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4140200" y="1657349"/>
              <a:ext cx="977900" cy="1181437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9525</xdr:colOff>
          <xdr:row>13</xdr:row>
          <xdr:rowOff>37571</xdr:rowOff>
        </xdr:to>
        <xdr:pic>
          <xdr:nvPicPr>
            <xdr:cNvPr id="12" name="Img">
              <a:extLst>
                <a:ext uri="{FF2B5EF4-FFF2-40B4-BE49-F238E27FC236}">
                  <a16:creationId xmlns:a16="http://schemas.microsoft.com/office/drawing/2014/main" id="{00000000-0008-0000-0400-00000C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FOTO" spid="_x0000_s1054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933825" y="1638300"/>
              <a:ext cx="952500" cy="1256771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742950</xdr:colOff>
      <xdr:row>13</xdr:row>
      <xdr:rowOff>44450</xdr:rowOff>
    </xdr:from>
    <xdr:to>
      <xdr:col>9</xdr:col>
      <xdr:colOff>514350</xdr:colOff>
      <xdr:row>27</xdr:row>
      <xdr:rowOff>120650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704850</xdr:colOff>
      <xdr:row>28</xdr:row>
      <xdr:rowOff>120650</xdr:rowOff>
    </xdr:from>
    <xdr:to>
      <xdr:col>9</xdr:col>
      <xdr:colOff>476250</xdr:colOff>
      <xdr:row>43</xdr:row>
      <xdr:rowOff>6350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755650</xdr:colOff>
      <xdr:row>44</xdr:row>
      <xdr:rowOff>82550</xdr:rowOff>
    </xdr:from>
    <xdr:to>
      <xdr:col>9</xdr:col>
      <xdr:colOff>527050</xdr:colOff>
      <xdr:row>58</xdr:row>
      <xdr:rowOff>158750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682626</xdr:colOff>
      <xdr:row>59</xdr:row>
      <xdr:rowOff>124618</xdr:rowOff>
    </xdr:from>
    <xdr:to>
      <xdr:col>9</xdr:col>
      <xdr:colOff>444501</xdr:colOff>
      <xdr:row>74</xdr:row>
      <xdr:rowOff>129380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65127</xdr:rowOff>
    </xdr:from>
    <xdr:to>
      <xdr:col>6</xdr:col>
      <xdr:colOff>635000</xdr:colOff>
      <xdr:row>19</xdr:row>
      <xdr:rowOff>65127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164000</xdr:colOff>
      <xdr:row>5</xdr:row>
      <xdr:rowOff>49661</xdr:rowOff>
    </xdr:from>
    <xdr:to>
      <xdr:col>16</xdr:col>
      <xdr:colOff>770710</xdr:colOff>
      <xdr:row>19</xdr:row>
      <xdr:rowOff>134612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19</xdr:row>
      <xdr:rowOff>130255</xdr:rowOff>
    </xdr:from>
    <xdr:to>
      <xdr:col>6</xdr:col>
      <xdr:colOff>586153</xdr:colOff>
      <xdr:row>35</xdr:row>
      <xdr:rowOff>97692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237798</xdr:colOff>
      <xdr:row>21</xdr:row>
      <xdr:rowOff>64760</xdr:rowOff>
    </xdr:from>
    <xdr:to>
      <xdr:col>17</xdr:col>
      <xdr:colOff>34883</xdr:colOff>
      <xdr:row>36</xdr:row>
      <xdr:rowOff>89671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632395</xdr:colOff>
      <xdr:row>8</xdr:row>
      <xdr:rowOff>30123</xdr:rowOff>
    </xdr:from>
    <xdr:to>
      <xdr:col>10</xdr:col>
      <xdr:colOff>673100</xdr:colOff>
      <xdr:row>14</xdr:row>
      <xdr:rowOff>114301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Vendedor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45027" y="1500649"/>
              <a:ext cx="3249126" cy="11870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628650</xdr:colOff>
      <xdr:row>16</xdr:row>
      <xdr:rowOff>92483</xdr:rowOff>
    </xdr:from>
    <xdr:to>
      <xdr:col>10</xdr:col>
      <xdr:colOff>673100</xdr:colOff>
      <xdr:row>23</xdr:row>
      <xdr:rowOff>25400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Articulo"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rticul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41282" y="3033536"/>
              <a:ext cx="3252871" cy="12196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600076</xdr:colOff>
      <xdr:row>26</xdr:row>
      <xdr:rowOff>18398</xdr:rowOff>
    </xdr:from>
    <xdr:to>
      <xdr:col>11</xdr:col>
      <xdr:colOff>276226</xdr:colOff>
      <xdr:row>33</xdr:row>
      <xdr:rowOff>136280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8" name="Fecha"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88832" y="4797609"/>
              <a:ext cx="4069303" cy="14045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0</xdr:row>
      <xdr:rowOff>33421</xdr:rowOff>
    </xdr:from>
    <xdr:to>
      <xdr:col>7</xdr:col>
      <xdr:colOff>300789</xdr:colOff>
      <xdr:row>2</xdr:row>
      <xdr:rowOff>108618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0" y="33421"/>
          <a:ext cx="5915526" cy="4428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2800" b="1">
              <a:solidFill>
                <a:schemeClr val="bg1"/>
              </a:solidFill>
            </a:rPr>
            <a:t>Reporte dinámico</a:t>
          </a:r>
          <a:r>
            <a:rPr lang="es-PE" sz="2800" b="1" baseline="0">
              <a:solidFill>
                <a:schemeClr val="bg1"/>
              </a:solidFill>
            </a:rPr>
            <a:t> básico de Excel</a:t>
          </a:r>
          <a:endParaRPr lang="es-PE" sz="2800" b="1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NIMATE/SECURE/Production/2D_REPNew2.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"/>
      <sheetName val="PRODUCTION REPORTS"/>
      <sheetName val="MASTER"/>
      <sheetName val="ANIMATION ONLY"/>
      <sheetName val="CONCEP-STREET"/>
      <sheetName val="ANIMATION COST FORECAST"/>
      <sheetName val="WEEKLY"/>
      <sheetName val="Sheet1"/>
      <sheetName val="EXTERNAL ANIMATION"/>
      <sheetName val="LM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lio Haro Aguayo" refreshedDate="44680.879767013888" createdVersion="7" refreshedVersion="7" minRefreshableVersion="3" recordCount="90" xr:uid="{68FD8622-6B1C-488E-9EA8-DF1B82EB83A4}">
  <cacheSource type="worksheet">
    <worksheetSource ref="A10:I100" sheet="BaseDatos"/>
  </cacheSource>
  <cacheFields count="9">
    <cacheField name="Fecha" numFmtId="14">
      <sharedItems containsSemiMixedTypes="0" containsNonDate="0" containsDate="1" containsString="0" minDate="2022-01-01T00:00:00" maxDate="2022-01-16T00:00:00" count="15">
        <d v="2022-01-01T00:00:00"/>
        <d v="2022-01-02T00:00:00"/>
        <d v="2022-01-14T00:00:00"/>
        <d v="2022-01-03T00:00:00"/>
        <d v="2022-01-04T00:00:00"/>
        <d v="2022-01-13T00:00:00"/>
        <d v="2022-01-07T00:00:00"/>
        <d v="2022-01-08T00:00:00"/>
        <d v="2022-01-06T00:00:00"/>
        <d v="2022-01-15T00:00:00"/>
        <d v="2022-01-11T00:00:00"/>
        <d v="2022-01-05T00:00:00"/>
        <d v="2022-01-09T00:00:00"/>
        <d v="2022-01-10T00:00:00"/>
        <d v="2022-01-12T00:00:00"/>
      </sharedItems>
    </cacheField>
    <cacheField name="Tienda" numFmtId="0">
      <sharedItems count="3">
        <s v="Carsa"/>
        <s v="Elektra"/>
        <s v="Hiraoka"/>
      </sharedItems>
    </cacheField>
    <cacheField name="Distrito" numFmtId="0">
      <sharedItems/>
    </cacheField>
    <cacheField name="Vendedor" numFmtId="0">
      <sharedItems count="3">
        <s v="Rivera"/>
        <s v="Salazar"/>
        <s v="Bellido"/>
      </sharedItems>
    </cacheField>
    <cacheField name="Articulo" numFmtId="0">
      <sharedItems count="3">
        <s v="Refrigerador"/>
        <s v="Lavadora"/>
        <s v="Televisor"/>
      </sharedItems>
    </cacheField>
    <cacheField name="Marca" numFmtId="0">
      <sharedItems/>
    </cacheField>
    <cacheField name="Cantidad" numFmtId="0">
      <sharedItems containsSemiMixedTypes="0" containsString="0" containsNumber="1" containsInteger="1" minValue="11" maxValue="198"/>
    </cacheField>
    <cacheField name="Precio" numFmtId="167">
      <sharedItems containsSemiMixedTypes="0" containsString="0" containsNumber="1" containsInteger="1" minValue="340" maxValue="1410"/>
    </cacheField>
    <cacheField name="Total" numFmtId="167">
      <sharedItems containsSemiMixedTypes="0" containsString="0" containsNumber="1" containsInteger="1" minValue="5100" maxValue="255210"/>
    </cacheField>
  </cacheFields>
  <extLst>
    <ext xmlns:x14="http://schemas.microsoft.com/office/spreadsheetml/2009/9/main" uri="{725AE2AE-9491-48be-B2B4-4EB974FC3084}">
      <x14:pivotCacheDefinition pivotCacheId="11061492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s v="San Miguel"/>
    <x v="0"/>
    <x v="0"/>
    <s v="Daewoo"/>
    <n v="78"/>
    <n v="980"/>
    <n v="76440"/>
  </r>
  <r>
    <x v="1"/>
    <x v="1"/>
    <s v="San Isidro"/>
    <x v="0"/>
    <x v="1"/>
    <s v="LG"/>
    <n v="93"/>
    <n v="730"/>
    <n v="67890"/>
  </r>
  <r>
    <x v="2"/>
    <x v="2"/>
    <s v="San Isidro"/>
    <x v="1"/>
    <x v="1"/>
    <s v="LG"/>
    <n v="78"/>
    <n v="730"/>
    <n v="56940"/>
  </r>
  <r>
    <x v="3"/>
    <x v="1"/>
    <s v="San Miguel"/>
    <x v="2"/>
    <x v="1"/>
    <s v="Daewoo"/>
    <n v="86"/>
    <n v="550"/>
    <n v="47300"/>
  </r>
  <r>
    <x v="4"/>
    <x v="2"/>
    <s v="San Isidro"/>
    <x v="0"/>
    <x v="1"/>
    <s v="Daewoo"/>
    <n v="122"/>
    <n v="550"/>
    <n v="67100"/>
  </r>
  <r>
    <x v="5"/>
    <x v="0"/>
    <s v="San Miguel"/>
    <x v="0"/>
    <x v="2"/>
    <s v="Daewoo"/>
    <n v="184"/>
    <n v="410"/>
    <n v="75440"/>
  </r>
  <r>
    <x v="6"/>
    <x v="0"/>
    <s v="San Miguel"/>
    <x v="2"/>
    <x v="1"/>
    <s v="Samsung"/>
    <n v="95"/>
    <n v="970"/>
    <n v="92150"/>
  </r>
  <r>
    <x v="7"/>
    <x v="1"/>
    <s v="Los Olivos"/>
    <x v="2"/>
    <x v="1"/>
    <s v="LG"/>
    <n v="107"/>
    <n v="730"/>
    <n v="78110"/>
  </r>
  <r>
    <x v="5"/>
    <x v="2"/>
    <s v="San Isidro"/>
    <x v="0"/>
    <x v="2"/>
    <s v="Daewoo"/>
    <n v="107"/>
    <n v="410"/>
    <n v="43870"/>
  </r>
  <r>
    <x v="4"/>
    <x v="0"/>
    <s v="Los Olivos"/>
    <x v="2"/>
    <x v="2"/>
    <s v="LG"/>
    <n v="128"/>
    <n v="340"/>
    <n v="43520"/>
  </r>
  <r>
    <x v="8"/>
    <x v="0"/>
    <s v="Barranco"/>
    <x v="0"/>
    <x v="2"/>
    <s v="LG"/>
    <n v="122"/>
    <n v="340"/>
    <n v="41480"/>
  </r>
  <r>
    <x v="2"/>
    <x v="1"/>
    <s v="San Miguel"/>
    <x v="1"/>
    <x v="0"/>
    <s v="Daewoo"/>
    <n v="86"/>
    <n v="980"/>
    <n v="84280"/>
  </r>
  <r>
    <x v="0"/>
    <x v="1"/>
    <s v="Los Olivos"/>
    <x v="2"/>
    <x v="2"/>
    <s v="LG"/>
    <n v="157"/>
    <n v="340"/>
    <n v="53380"/>
  </r>
  <r>
    <x v="9"/>
    <x v="1"/>
    <s v="Los Olivos"/>
    <x v="1"/>
    <x v="2"/>
    <s v="LG"/>
    <n v="189"/>
    <n v="340"/>
    <n v="64260"/>
  </r>
  <r>
    <x v="10"/>
    <x v="0"/>
    <s v="San Miguel"/>
    <x v="0"/>
    <x v="0"/>
    <s v="Samsung"/>
    <n v="128"/>
    <n v="1160"/>
    <n v="148480"/>
  </r>
  <r>
    <x v="4"/>
    <x v="1"/>
    <s v="Barranco"/>
    <x v="0"/>
    <x v="2"/>
    <s v="Samsung"/>
    <n v="137"/>
    <n v="720"/>
    <n v="98640"/>
  </r>
  <r>
    <x v="5"/>
    <x v="0"/>
    <s v="San Isidro"/>
    <x v="2"/>
    <x v="0"/>
    <s v="LG"/>
    <n v="173"/>
    <n v="1410"/>
    <n v="243930"/>
  </r>
  <r>
    <x v="3"/>
    <x v="1"/>
    <s v="San Isidro"/>
    <x v="0"/>
    <x v="2"/>
    <s v="LG"/>
    <n v="60"/>
    <n v="340"/>
    <n v="20400"/>
  </r>
  <r>
    <x v="2"/>
    <x v="1"/>
    <s v="San Miguel"/>
    <x v="1"/>
    <x v="2"/>
    <s v="Samsung"/>
    <n v="149"/>
    <n v="720"/>
    <n v="107280"/>
  </r>
  <r>
    <x v="11"/>
    <x v="1"/>
    <s v="San Isidro"/>
    <x v="2"/>
    <x v="2"/>
    <s v="Daewoo"/>
    <n v="47"/>
    <n v="410"/>
    <n v="19270"/>
  </r>
  <r>
    <x v="7"/>
    <x v="1"/>
    <s v="Barranco"/>
    <x v="1"/>
    <x v="0"/>
    <s v="Samsung"/>
    <n v="13"/>
    <n v="1160"/>
    <n v="15080"/>
  </r>
  <r>
    <x v="5"/>
    <x v="1"/>
    <s v="San Isidro"/>
    <x v="0"/>
    <x v="1"/>
    <s v="Daewoo"/>
    <n v="172"/>
    <n v="550"/>
    <n v="94600"/>
  </r>
  <r>
    <x v="12"/>
    <x v="1"/>
    <s v="San Miguel"/>
    <x v="2"/>
    <x v="0"/>
    <s v="Samsung"/>
    <n v="75"/>
    <n v="1160"/>
    <n v="87000"/>
  </r>
  <r>
    <x v="7"/>
    <x v="1"/>
    <s v="Los Olivos"/>
    <x v="2"/>
    <x v="0"/>
    <s v="Samsung"/>
    <n v="26"/>
    <n v="1160"/>
    <n v="30160"/>
  </r>
  <r>
    <x v="13"/>
    <x v="1"/>
    <s v="Barranco"/>
    <x v="1"/>
    <x v="1"/>
    <s v="LG"/>
    <n v="162"/>
    <n v="730"/>
    <n v="118260"/>
  </r>
  <r>
    <x v="3"/>
    <x v="2"/>
    <s v="Barranco"/>
    <x v="0"/>
    <x v="2"/>
    <s v="LG"/>
    <n v="144"/>
    <n v="340"/>
    <n v="48960"/>
  </r>
  <r>
    <x v="0"/>
    <x v="2"/>
    <s v="San Miguel"/>
    <x v="0"/>
    <x v="0"/>
    <s v="Daewoo"/>
    <n v="93"/>
    <n v="980"/>
    <n v="91140"/>
  </r>
  <r>
    <x v="2"/>
    <x v="0"/>
    <s v="Los Olivos"/>
    <x v="1"/>
    <x v="2"/>
    <s v="Daewoo"/>
    <n v="129"/>
    <n v="410"/>
    <n v="52890"/>
  </r>
  <r>
    <x v="2"/>
    <x v="0"/>
    <s v="San Isidro"/>
    <x v="1"/>
    <x v="0"/>
    <s v="LG"/>
    <n v="89"/>
    <n v="1410"/>
    <n v="125490"/>
  </r>
  <r>
    <x v="8"/>
    <x v="2"/>
    <s v="Los Olivos"/>
    <x v="0"/>
    <x v="1"/>
    <s v="LG"/>
    <n v="99"/>
    <n v="730"/>
    <n v="72270"/>
  </r>
  <r>
    <x v="13"/>
    <x v="2"/>
    <s v="Barranco"/>
    <x v="0"/>
    <x v="1"/>
    <s v="Samsung"/>
    <n v="186"/>
    <n v="970"/>
    <n v="180420"/>
  </r>
  <r>
    <x v="14"/>
    <x v="0"/>
    <s v="San Isidro"/>
    <x v="1"/>
    <x v="1"/>
    <s v="Daewoo"/>
    <n v="99"/>
    <n v="550"/>
    <n v="54450"/>
  </r>
  <r>
    <x v="3"/>
    <x v="2"/>
    <s v="San Isidro"/>
    <x v="1"/>
    <x v="0"/>
    <s v="Daewoo"/>
    <n v="135"/>
    <n v="980"/>
    <n v="132300"/>
  </r>
  <r>
    <x v="4"/>
    <x v="0"/>
    <s v="Barranco"/>
    <x v="0"/>
    <x v="1"/>
    <s v="Samsung"/>
    <n v="168"/>
    <n v="970"/>
    <n v="162960"/>
  </r>
  <r>
    <x v="1"/>
    <x v="0"/>
    <s v="Barranco"/>
    <x v="1"/>
    <x v="1"/>
    <s v="Samsung"/>
    <n v="30"/>
    <n v="970"/>
    <n v="29100"/>
  </r>
  <r>
    <x v="11"/>
    <x v="0"/>
    <s v="Barranco"/>
    <x v="1"/>
    <x v="2"/>
    <s v="LG"/>
    <n v="143"/>
    <n v="340"/>
    <n v="48620"/>
  </r>
  <r>
    <x v="8"/>
    <x v="0"/>
    <s v="San Miguel"/>
    <x v="1"/>
    <x v="2"/>
    <s v="Samsung"/>
    <n v="172"/>
    <n v="720"/>
    <n v="123840"/>
  </r>
  <r>
    <x v="8"/>
    <x v="0"/>
    <s v="Los Olivos"/>
    <x v="2"/>
    <x v="0"/>
    <s v="Daewoo"/>
    <n v="36"/>
    <n v="980"/>
    <n v="35280"/>
  </r>
  <r>
    <x v="4"/>
    <x v="1"/>
    <s v="Los Olivos"/>
    <x v="2"/>
    <x v="2"/>
    <s v="Daewoo"/>
    <n v="123"/>
    <n v="410"/>
    <n v="50430"/>
  </r>
  <r>
    <x v="12"/>
    <x v="2"/>
    <s v="Barranco"/>
    <x v="0"/>
    <x v="1"/>
    <s v="Samsung"/>
    <n v="197"/>
    <n v="970"/>
    <n v="191090"/>
  </r>
  <r>
    <x v="10"/>
    <x v="2"/>
    <s v="San Miguel"/>
    <x v="0"/>
    <x v="2"/>
    <s v="Samsung"/>
    <n v="82"/>
    <n v="720"/>
    <n v="59040"/>
  </r>
  <r>
    <x v="4"/>
    <x v="2"/>
    <s v="San Miguel"/>
    <x v="1"/>
    <x v="1"/>
    <s v="Daewoo"/>
    <n v="41"/>
    <n v="550"/>
    <n v="22550"/>
  </r>
  <r>
    <x v="9"/>
    <x v="0"/>
    <s v="Barranco"/>
    <x v="0"/>
    <x v="0"/>
    <s v="Samsung"/>
    <n v="66"/>
    <n v="1160"/>
    <n v="76560"/>
  </r>
  <r>
    <x v="13"/>
    <x v="0"/>
    <s v="San Isidro"/>
    <x v="2"/>
    <x v="2"/>
    <s v="LG"/>
    <n v="15"/>
    <n v="340"/>
    <n v="5100"/>
  </r>
  <r>
    <x v="6"/>
    <x v="1"/>
    <s v="San Miguel"/>
    <x v="0"/>
    <x v="0"/>
    <s v="Samsung"/>
    <n v="180"/>
    <n v="1160"/>
    <n v="208800"/>
  </r>
  <r>
    <x v="2"/>
    <x v="1"/>
    <s v="Los Olivos"/>
    <x v="2"/>
    <x v="0"/>
    <s v="LG"/>
    <n v="181"/>
    <n v="1410"/>
    <n v="255210"/>
  </r>
  <r>
    <x v="9"/>
    <x v="1"/>
    <s v="San Miguel"/>
    <x v="0"/>
    <x v="0"/>
    <s v="Daewoo"/>
    <n v="139"/>
    <n v="980"/>
    <n v="136220"/>
  </r>
  <r>
    <x v="11"/>
    <x v="2"/>
    <s v="San Miguel"/>
    <x v="2"/>
    <x v="1"/>
    <s v="Daewoo"/>
    <n v="133"/>
    <n v="550"/>
    <n v="73150"/>
  </r>
  <r>
    <x v="2"/>
    <x v="0"/>
    <s v="Los Olivos"/>
    <x v="1"/>
    <x v="1"/>
    <s v="Samsung"/>
    <n v="152"/>
    <n v="970"/>
    <n v="147440"/>
  </r>
  <r>
    <x v="12"/>
    <x v="2"/>
    <s v="San Miguel"/>
    <x v="2"/>
    <x v="1"/>
    <s v="Daewoo"/>
    <n v="93"/>
    <n v="550"/>
    <n v="51150"/>
  </r>
  <r>
    <x v="7"/>
    <x v="1"/>
    <s v="Los Olivos"/>
    <x v="2"/>
    <x v="0"/>
    <s v="Samsung"/>
    <n v="179"/>
    <n v="1160"/>
    <n v="207640"/>
  </r>
  <r>
    <x v="9"/>
    <x v="0"/>
    <s v="San Isidro"/>
    <x v="2"/>
    <x v="1"/>
    <s v="LG"/>
    <n v="57"/>
    <n v="730"/>
    <n v="41610"/>
  </r>
  <r>
    <x v="6"/>
    <x v="1"/>
    <s v="Barranco"/>
    <x v="0"/>
    <x v="1"/>
    <s v="LG"/>
    <n v="70"/>
    <n v="730"/>
    <n v="51100"/>
  </r>
  <r>
    <x v="10"/>
    <x v="0"/>
    <s v="Los Olivos"/>
    <x v="0"/>
    <x v="1"/>
    <s v="Samsung"/>
    <n v="43"/>
    <n v="970"/>
    <n v="41710"/>
  </r>
  <r>
    <x v="3"/>
    <x v="2"/>
    <s v="Los Olivos"/>
    <x v="2"/>
    <x v="2"/>
    <s v="Daewoo"/>
    <n v="164"/>
    <n v="410"/>
    <n v="67240"/>
  </r>
  <r>
    <x v="11"/>
    <x v="2"/>
    <s v="Barranco"/>
    <x v="0"/>
    <x v="2"/>
    <s v="Samsung"/>
    <n v="131"/>
    <n v="720"/>
    <n v="94320"/>
  </r>
  <r>
    <x v="9"/>
    <x v="2"/>
    <s v="Barranco"/>
    <x v="1"/>
    <x v="0"/>
    <s v="Samsung"/>
    <n v="102"/>
    <n v="1160"/>
    <n v="118320"/>
  </r>
  <r>
    <x v="5"/>
    <x v="2"/>
    <s v="Barranco"/>
    <x v="1"/>
    <x v="2"/>
    <s v="Samsung"/>
    <n v="127"/>
    <n v="720"/>
    <n v="91440"/>
  </r>
  <r>
    <x v="11"/>
    <x v="1"/>
    <s v="San Miguel"/>
    <x v="2"/>
    <x v="2"/>
    <s v="Daewoo"/>
    <n v="136"/>
    <n v="410"/>
    <n v="55760"/>
  </r>
  <r>
    <x v="0"/>
    <x v="1"/>
    <s v="Los Olivos"/>
    <x v="2"/>
    <x v="2"/>
    <s v="Samsung"/>
    <n v="157"/>
    <n v="720"/>
    <n v="113040"/>
  </r>
  <r>
    <x v="3"/>
    <x v="1"/>
    <s v="Barranco"/>
    <x v="1"/>
    <x v="0"/>
    <s v="Samsung"/>
    <n v="168"/>
    <n v="1160"/>
    <n v="194880"/>
  </r>
  <r>
    <x v="13"/>
    <x v="2"/>
    <s v="Los Olivos"/>
    <x v="1"/>
    <x v="1"/>
    <s v="Daewoo"/>
    <n v="198"/>
    <n v="550"/>
    <n v="108900"/>
  </r>
  <r>
    <x v="11"/>
    <x v="1"/>
    <s v="San Isidro"/>
    <x v="1"/>
    <x v="2"/>
    <s v="LG"/>
    <n v="197"/>
    <n v="340"/>
    <n v="66980"/>
  </r>
  <r>
    <x v="7"/>
    <x v="0"/>
    <s v="San Miguel"/>
    <x v="0"/>
    <x v="0"/>
    <s v="Daewoo"/>
    <n v="11"/>
    <n v="980"/>
    <n v="10780"/>
  </r>
  <r>
    <x v="6"/>
    <x v="2"/>
    <s v="Los Olivos"/>
    <x v="2"/>
    <x v="0"/>
    <s v="Daewoo"/>
    <n v="160"/>
    <n v="980"/>
    <n v="156800"/>
  </r>
  <r>
    <x v="9"/>
    <x v="2"/>
    <s v="Barranco"/>
    <x v="0"/>
    <x v="0"/>
    <s v="Samsung"/>
    <n v="130"/>
    <n v="1160"/>
    <n v="150800"/>
  </r>
  <r>
    <x v="13"/>
    <x v="0"/>
    <s v="San Miguel"/>
    <x v="0"/>
    <x v="2"/>
    <s v="Daewoo"/>
    <n v="133"/>
    <n v="410"/>
    <n v="54530"/>
  </r>
  <r>
    <x v="0"/>
    <x v="0"/>
    <s v="Barranco"/>
    <x v="0"/>
    <x v="2"/>
    <s v="LG"/>
    <n v="60"/>
    <n v="340"/>
    <n v="20400"/>
  </r>
  <r>
    <x v="5"/>
    <x v="0"/>
    <s v="San Isidro"/>
    <x v="2"/>
    <x v="1"/>
    <s v="LG"/>
    <n v="62"/>
    <n v="730"/>
    <n v="45260"/>
  </r>
  <r>
    <x v="11"/>
    <x v="2"/>
    <s v="San Isidro"/>
    <x v="0"/>
    <x v="0"/>
    <s v="LG"/>
    <n v="140"/>
    <n v="1410"/>
    <n v="197400"/>
  </r>
  <r>
    <x v="8"/>
    <x v="2"/>
    <s v="Los Olivos"/>
    <x v="1"/>
    <x v="2"/>
    <s v="Samsung"/>
    <n v="61"/>
    <n v="720"/>
    <n v="43920"/>
  </r>
  <r>
    <x v="14"/>
    <x v="2"/>
    <s v="San Miguel"/>
    <x v="2"/>
    <x v="2"/>
    <s v="Daewoo"/>
    <n v="19"/>
    <n v="410"/>
    <n v="7790"/>
  </r>
  <r>
    <x v="1"/>
    <x v="2"/>
    <s v="Los Olivos"/>
    <x v="1"/>
    <x v="1"/>
    <s v="LG"/>
    <n v="17"/>
    <n v="730"/>
    <n v="12410"/>
  </r>
  <r>
    <x v="1"/>
    <x v="0"/>
    <s v="Barranco"/>
    <x v="1"/>
    <x v="1"/>
    <s v="Samsung"/>
    <n v="159"/>
    <n v="970"/>
    <n v="154230"/>
  </r>
  <r>
    <x v="5"/>
    <x v="1"/>
    <s v="San Isidro"/>
    <x v="2"/>
    <x v="2"/>
    <s v="Daewoo"/>
    <n v="196"/>
    <n v="410"/>
    <n v="80360"/>
  </r>
  <r>
    <x v="0"/>
    <x v="0"/>
    <s v="Los Olivos"/>
    <x v="2"/>
    <x v="0"/>
    <s v="Samsung"/>
    <n v="120"/>
    <n v="1160"/>
    <n v="139200"/>
  </r>
  <r>
    <x v="7"/>
    <x v="1"/>
    <s v="Barranco"/>
    <x v="0"/>
    <x v="1"/>
    <s v="LG"/>
    <n v="62"/>
    <n v="730"/>
    <n v="45260"/>
  </r>
  <r>
    <x v="12"/>
    <x v="0"/>
    <s v="Barranco"/>
    <x v="0"/>
    <x v="0"/>
    <s v="Samsung"/>
    <n v="38"/>
    <n v="1160"/>
    <n v="44080"/>
  </r>
  <r>
    <x v="11"/>
    <x v="0"/>
    <s v="San Miguel"/>
    <x v="2"/>
    <x v="1"/>
    <s v="Daewoo"/>
    <n v="145"/>
    <n v="550"/>
    <n v="79750"/>
  </r>
  <r>
    <x v="13"/>
    <x v="2"/>
    <s v="San Miguel"/>
    <x v="1"/>
    <x v="2"/>
    <s v="Daewoo"/>
    <n v="147"/>
    <n v="410"/>
    <n v="60270"/>
  </r>
  <r>
    <x v="2"/>
    <x v="0"/>
    <s v="San Isidro"/>
    <x v="0"/>
    <x v="2"/>
    <s v="LG"/>
    <n v="119"/>
    <n v="340"/>
    <n v="40460"/>
  </r>
  <r>
    <x v="4"/>
    <x v="0"/>
    <s v="San Isidro"/>
    <x v="2"/>
    <x v="1"/>
    <s v="LG"/>
    <n v="108"/>
    <n v="730"/>
    <n v="78840"/>
  </r>
  <r>
    <x v="11"/>
    <x v="2"/>
    <s v="San Isidro"/>
    <x v="2"/>
    <x v="0"/>
    <s v="Daewoo"/>
    <n v="41"/>
    <n v="980"/>
    <n v="40180"/>
  </r>
  <r>
    <x v="14"/>
    <x v="2"/>
    <s v="Los Olivos"/>
    <x v="1"/>
    <x v="0"/>
    <s v="LG"/>
    <n v="121"/>
    <n v="1410"/>
    <n v="170610"/>
  </r>
  <r>
    <x v="13"/>
    <x v="1"/>
    <s v="San Isidro"/>
    <x v="2"/>
    <x v="2"/>
    <s v="LG"/>
    <n v="127"/>
    <n v="340"/>
    <n v="43180"/>
  </r>
  <r>
    <x v="4"/>
    <x v="1"/>
    <s v="San Miguel"/>
    <x v="1"/>
    <x v="0"/>
    <s v="Daewoo"/>
    <n v="105"/>
    <n v="980"/>
    <n v="102900"/>
  </r>
  <r>
    <x v="5"/>
    <x v="0"/>
    <s v="Los Olivos"/>
    <x v="1"/>
    <x v="0"/>
    <s v="Daewoo"/>
    <n v="166"/>
    <n v="980"/>
    <n v="162680"/>
  </r>
  <r>
    <x v="12"/>
    <x v="1"/>
    <s v="Barranco"/>
    <x v="0"/>
    <x v="2"/>
    <s v="Samsung"/>
    <n v="84"/>
    <n v="720"/>
    <n v="60480"/>
  </r>
  <r>
    <x v="6"/>
    <x v="1"/>
    <s v="San Isidro"/>
    <x v="0"/>
    <x v="1"/>
    <s v="LG"/>
    <n v="197"/>
    <n v="730"/>
    <n v="143810"/>
  </r>
  <r>
    <x v="13"/>
    <x v="2"/>
    <s v="San Isidro"/>
    <x v="1"/>
    <x v="0"/>
    <s v="LG"/>
    <n v="46"/>
    <n v="1410"/>
    <n v="648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D2F7C5-0A9C-4C44-BE63-008C0FE38DE4}" name="TablaDinámica2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7" indent="0" outline="1" outlineData="1" multipleFieldFilters="0" chartFormat="7">
  <location ref="A30:B34" firstHeaderRow="1" firstDataRow="1" firstDataCol="1"/>
  <pivotFields count="9">
    <pivotField numFmtId="14" showAll="0">
      <items count="16">
        <item x="0"/>
        <item x="1"/>
        <item x="3"/>
        <item x="4"/>
        <item x="11"/>
        <item x="8"/>
        <item x="6"/>
        <item x="7"/>
        <item x="12"/>
        <item x="13"/>
        <item x="10"/>
        <item x="14"/>
        <item x="5"/>
        <item x="2"/>
        <item x="9"/>
        <item t="default"/>
      </items>
    </pivotField>
    <pivotField showAll="0"/>
    <pivotField showAll="0"/>
    <pivotField axis="axisRow" showAll="0">
      <items count="4">
        <item x="2"/>
        <item x="0"/>
        <item x="1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showAll="0"/>
    <pivotField numFmtId="167" showAll="0"/>
    <pivotField dataField="1" numFmtId="167"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Total" fld="8" baseField="0" baseItem="0"/>
  </dataFields>
  <chartFormats count="2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4" showRowHeaders="1" showColHeaders="1" showRowStripes="0" showColStripes="0" showLastColumn="1"/>
  <filters count="1">
    <filter fld="0" type="dateBetween" evalOrder="-1" id="125" name="Fecha">
      <autoFilter ref="A1">
        <filterColumn colId="0">
          <customFilters and="1">
            <customFilter operator="greaterThanOrEqual" val="44562"/>
            <customFilter operator="lessThanOrEqual" val="4457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F3EE48-9631-45E4-9D04-D55336AA1F7B}" name="TablaDinámica1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7" indent="0" outline="1" outlineData="1" multipleFieldFilters="0" chartFormat="4">
  <location ref="A15:B19" firstHeaderRow="1" firstDataRow="1" firstDataCol="1"/>
  <pivotFields count="9">
    <pivotField numFmtId="14" showAll="0">
      <items count="16">
        <item x="0"/>
        <item x="1"/>
        <item x="3"/>
        <item x="4"/>
        <item x="11"/>
        <item x="8"/>
        <item x="6"/>
        <item x="7"/>
        <item x="12"/>
        <item x="13"/>
        <item x="10"/>
        <item x="14"/>
        <item x="5"/>
        <item x="2"/>
        <item x="9"/>
        <item t="default"/>
      </items>
    </pivotField>
    <pivotField showAll="0"/>
    <pivotField showAll="0"/>
    <pivotField axis="axisRow" showAll="0">
      <items count="4">
        <item x="2"/>
        <item x="0"/>
        <item x="1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dataField="1" showAll="0"/>
    <pivotField numFmtId="167" showAll="0"/>
    <pivotField numFmtId="167"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Cantidad" fld="6" baseField="0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4" showRowHeaders="1" showColHeaders="1" showRowStripes="0" showColStripes="0" showLastColumn="1"/>
  <filters count="1">
    <filter fld="0" type="dateBetween" evalOrder="-1" id="125" name="Fecha">
      <autoFilter ref="A1">
        <filterColumn colId="0">
          <customFilters and="1">
            <customFilter operator="greaterThanOrEqual" val="44562"/>
            <customFilter operator="lessThanOrEqual" val="4457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839A2E-0B41-46F6-9A84-9AF07BEF012F}" name="TablaDinámica4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7" indent="0" outline="1" outlineData="1" multipleFieldFilters="0" chartFormat="33">
  <location ref="A61:B65" firstHeaderRow="1" firstDataRow="1" firstDataCol="1"/>
  <pivotFields count="9">
    <pivotField numFmtId="14" showAll="0">
      <items count="16">
        <item x="0"/>
        <item x="1"/>
        <item x="3"/>
        <item x="4"/>
        <item x="11"/>
        <item x="8"/>
        <item x="6"/>
        <item x="7"/>
        <item x="12"/>
        <item x="13"/>
        <item x="10"/>
        <item x="14"/>
        <item x="5"/>
        <item x="2"/>
        <item x="9"/>
        <item t="default"/>
      </items>
    </pivotField>
    <pivotField showAll="0"/>
    <pivotField showAll="0"/>
    <pivotField showAll="0">
      <items count="4">
        <item x="2"/>
        <item x="0"/>
        <item x="1"/>
        <item t="default"/>
      </items>
    </pivotField>
    <pivotField axis="axisRow" showAll="0">
      <items count="4">
        <item x="1"/>
        <item x="0"/>
        <item x="2"/>
        <item t="default"/>
      </items>
    </pivotField>
    <pivotField showAll="0"/>
    <pivotField showAll="0"/>
    <pivotField numFmtId="167" showAll="0"/>
    <pivotField dataField="1" numFmtId="167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Total" fld="8" baseField="0" baseItem="0"/>
  </dataFields>
  <chartFormats count="2">
    <chartFormat chart="3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4" showRowHeaders="1" showColHeaders="1" showRowStripes="0" showColStripes="0" showLastColumn="1"/>
  <filters count="1">
    <filter fld="0" type="dateBetween" evalOrder="-1" id="125" name="Fecha">
      <autoFilter ref="A1">
        <filterColumn colId="0">
          <customFilters and="1">
            <customFilter operator="greaterThanOrEqual" val="44562"/>
            <customFilter operator="lessThanOrEqual" val="4457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5373DE-63D9-41C7-86C2-BD253F97EB5F}" name="TablaDinámica3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7" indent="0" outline="1" outlineData="1" multipleFieldFilters="0" chartFormat="7">
  <location ref="A46:B50" firstHeaderRow="1" firstDataRow="1" firstDataCol="1"/>
  <pivotFields count="9">
    <pivotField numFmtId="14" showAll="0">
      <items count="16">
        <item x="0"/>
        <item x="1"/>
        <item x="3"/>
        <item x="4"/>
        <item x="11"/>
        <item x="8"/>
        <item x="6"/>
        <item x="7"/>
        <item x="12"/>
        <item x="13"/>
        <item x="10"/>
        <item x="14"/>
        <item x="5"/>
        <item x="2"/>
        <item x="9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>
      <items count="4">
        <item x="2"/>
        <item x="0"/>
        <item x="1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dataField="1" showAll="0"/>
    <pivotField numFmtId="167" showAll="0"/>
    <pivotField numFmtId="167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Cantidad" fld="6" baseField="0" baseItem="0"/>
  </dataFields>
  <chartFormats count="8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4" showRowHeaders="1" showColHeaders="1" showRowStripes="0" showColStripes="0" showLastColumn="1"/>
  <filters count="1">
    <filter fld="0" type="dateBetween" evalOrder="-1" id="125" name="Fecha">
      <autoFilter ref="A1">
        <filterColumn colId="0">
          <customFilters and="1">
            <customFilter operator="greaterThanOrEqual" val="44562"/>
            <customFilter operator="lessThanOrEqual" val="4457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endedor" xr10:uid="{6C4BBD7C-C6BF-4FBF-ABB1-B6958CC8D34F}" sourceName="Vendedor">
  <pivotTables>
    <pivotTable tabId="12" name="TablaDinámica2"/>
    <pivotTable tabId="12" name="TablaDinámica1"/>
    <pivotTable tabId="12" name="TablaDinámica3"/>
    <pivotTable tabId="12" name="TablaDinámica4"/>
  </pivotTables>
  <data>
    <tabular pivotCacheId="110614924">
      <items count="3">
        <i x="2" s="1"/>
        <i x="0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rticulo" xr10:uid="{D426D623-5660-47B0-AEF4-1A999953829B}" sourceName="Articulo">
  <pivotTables>
    <pivotTable tabId="12" name="TablaDinámica2"/>
    <pivotTable tabId="12" name="TablaDinámica1"/>
    <pivotTable tabId="12" name="TablaDinámica3"/>
    <pivotTable tabId="12" name="TablaDinámica4"/>
  </pivotTables>
  <data>
    <tabular pivotCacheId="110614924">
      <items count="3">
        <i x="1" s="1"/>
        <i x="0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Vendedor" xr10:uid="{ED5C33D9-8AD4-4229-842F-FF0D752C6A59}" cache="SegmentaciónDeDatos_Vendedor" caption="Vendedor" style="SlicerStyleDark6" rowHeight="241300"/>
  <slicer name="Articulo" xr10:uid="{AA36BC3F-1530-426E-9732-4FCDD68CF289}" cache="SegmentaciónDeDatos_Articulo" caption="Articulo" style="SlicerStyleDark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BBA1CC-5FC2-4714-BA1A-515C2B770495}" name="BaseDatos" displayName="BaseDatos" ref="A1:M16" totalsRowShown="0" headerRowDxfId="28" dataDxfId="27" tableBorderDxfId="26">
  <autoFilter ref="A1:M16" xr:uid="{A7BBA1CC-5FC2-4714-BA1A-515C2B770495}"/>
  <tableColumns count="13">
    <tableColumn id="1" xr3:uid="{4A99E721-A663-43E7-B44D-07FBD9E00B7E}" name="Nº" dataDxfId="25" totalsRowDxfId="24"/>
    <tableColumn id="2" xr3:uid="{178BBE40-DF16-4F97-9A36-668361C77348}" name="CODIGO" dataDxfId="23" totalsRowDxfId="22"/>
    <tableColumn id="3" xr3:uid="{2B8906F7-3608-4CC9-9A62-1753B0B16F92}" name="NOMBRE" dataDxfId="21" totalsRowDxfId="20"/>
    <tableColumn id="4" xr3:uid="{8257D71D-9508-4D78-B956-EA7106C63DA6}" name="APELLIDOS" dataDxfId="19" totalsRowDxfId="18"/>
    <tableColumn id="5" xr3:uid="{332F0406-6AA5-4E98-872A-6D5C1F57E6D2}" name="CARGO" dataDxfId="17" totalsRowDxfId="16"/>
    <tableColumn id="6" xr3:uid="{0AA6ECED-7A8F-419C-BBC7-F4EDFFC90F96}" name="DOCUMENTO" dataDxfId="15" totalsRowDxfId="14"/>
    <tableColumn id="7" xr3:uid="{84E44CC1-E5D3-413F-B73B-87E59849E6E6}" name="FEC_NAC" dataDxfId="13" totalsRowDxfId="12"/>
    <tableColumn id="8" xr3:uid="{5FD7751B-BE0B-49E0-B966-D7F3DEBD6CDB}" name="TIPO_TRABAJADOR" dataDxfId="11" totalsRowDxfId="10"/>
    <tableColumn id="9" xr3:uid="{EBF9DC62-4364-40D1-82E3-5DC0FFE505E5}" name="SITUACION" dataDxfId="9" totalsRowDxfId="8"/>
    <tableColumn id="10" xr3:uid="{96B8C317-2B0B-4B89-99E9-D09A9C6B5787}" name="AFILIADO" dataDxfId="7" totalsRowDxfId="6"/>
    <tableColumn id="11" xr3:uid="{A5CE7CBD-4262-48DD-BEED-DA22F18E4CF4}" name="FEC_ING" dataDxfId="5" totalsRowDxfId="4"/>
    <tableColumn id="12" xr3:uid="{2764B98E-506A-4646-A5E7-82C4D6FB7CE3}" name="BASICO" dataDxfId="3" totalsRowDxfId="2"/>
    <tableColumn id="13" xr3:uid="{B3730C5A-88D0-46FC-80D4-5843E74324C9}" name="Fotos" dataDxfId="1" totalsRow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FC29746-D907-4950-8AE1-42B5FFB827B7}" sourceName="Fecha">
  <pivotTables>
    <pivotTable tabId="12" name="TablaDinámica2"/>
    <pivotTable tabId="12" name="TablaDinámica1"/>
    <pivotTable tabId="12" name="TablaDinámica3"/>
    <pivotTable tabId="12" name="TablaDinámica4"/>
  </pivotTables>
  <state minimalRefreshVersion="6" lastRefreshVersion="6" pivotCacheId="110614924" filterType="dateBetween">
    <selection startDate="2022-01-01T00:00:00" endDate="2022-01-14T00:00:00"/>
    <bounds startDate="2022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44D4207C-C8AE-4DB4-AA13-42A589103F8A}" cache="NativeTimeline_Fecha" caption="Fecha" level="3" selectionLevel="3" scrollPosition="2022-01-01T00:00:00" style="TimeSlicerStyleDark6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5.xml"/><Relationship Id="rId4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microsoft.com/office/2007/relationships/slicer" Target="../slicers/slicer1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L7"/>
  <sheetViews>
    <sheetView zoomScale="115" zoomScaleNormal="115" workbookViewId="0">
      <selection activeCell="G21" sqref="G21"/>
    </sheetView>
  </sheetViews>
  <sheetFormatPr baseColWidth="10" defaultColWidth="11.42578125" defaultRowHeight="15" x14ac:dyDescent="0.25"/>
  <cols>
    <col min="1" max="16384" width="11.42578125" style="4"/>
  </cols>
  <sheetData>
    <row r="1" spans="2:12" ht="34.5" thickBot="1" x14ac:dyDescent="0.55000000000000004">
      <c r="B1" s="48"/>
    </row>
    <row r="2" spans="2:12" ht="62.25" thickBot="1" x14ac:dyDescent="0.95">
      <c r="B2" s="95" t="s">
        <v>65</v>
      </c>
      <c r="C2" s="96"/>
      <c r="D2" s="96"/>
      <c r="E2" s="96"/>
      <c r="F2" s="96"/>
      <c r="G2" s="96"/>
      <c r="H2" s="96"/>
      <c r="I2" s="96"/>
      <c r="J2" s="96"/>
      <c r="K2" s="96"/>
      <c r="L2" s="97"/>
    </row>
    <row r="3" spans="2:12" x14ac:dyDescent="0.25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</row>
    <row r="7" spans="2:12" x14ac:dyDescent="0.25">
      <c r="D7"/>
    </row>
  </sheetData>
  <mergeCells count="1">
    <mergeCell ref="B2:L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A1:O18"/>
  <sheetViews>
    <sheetView topLeftCell="D1" zoomScale="90" zoomScaleNormal="90" workbookViewId="0">
      <selection activeCell="P5" sqref="P5"/>
    </sheetView>
  </sheetViews>
  <sheetFormatPr baseColWidth="10" defaultColWidth="11.42578125" defaultRowHeight="15" x14ac:dyDescent="0.25"/>
  <cols>
    <col min="1" max="1" width="13.7109375" style="1" customWidth="1"/>
    <col min="2" max="2" width="11.42578125" style="89"/>
    <col min="3" max="3" width="11.42578125" style="1"/>
    <col min="4" max="5" width="17" style="1" customWidth="1"/>
    <col min="6" max="6" width="13.5703125" style="1" customWidth="1"/>
    <col min="7" max="7" width="15.85546875" style="1" customWidth="1"/>
    <col min="8" max="8" width="18.5703125" style="1" customWidth="1"/>
    <col min="9" max="9" width="11.5703125" style="1" customWidth="1"/>
    <col min="10" max="10" width="11.42578125" style="1"/>
    <col min="11" max="11" width="14.42578125" style="1" customWidth="1"/>
    <col min="12" max="12" width="12.7109375" style="1" bestFit="1" customWidth="1"/>
    <col min="13" max="16384" width="11.42578125" style="1"/>
  </cols>
  <sheetData>
    <row r="1" spans="1:15" x14ac:dyDescent="0.25">
      <c r="A1" s="85" t="s">
        <v>16</v>
      </c>
      <c r="B1" s="85" t="s">
        <v>17</v>
      </c>
      <c r="C1" s="85" t="s">
        <v>18</v>
      </c>
      <c r="D1" s="85" t="s">
        <v>19</v>
      </c>
      <c r="E1" s="85" t="s">
        <v>20</v>
      </c>
      <c r="F1" s="85" t="s">
        <v>21</v>
      </c>
      <c r="G1" s="85" t="s">
        <v>22</v>
      </c>
      <c r="H1" s="85" t="s">
        <v>23</v>
      </c>
      <c r="I1" s="85" t="s">
        <v>24</v>
      </c>
      <c r="J1" s="85" t="s">
        <v>25</v>
      </c>
      <c r="K1" s="85" t="s">
        <v>26</v>
      </c>
      <c r="L1" s="85" t="s">
        <v>27</v>
      </c>
      <c r="M1" s="93" t="s">
        <v>137</v>
      </c>
    </row>
    <row r="2" spans="1:15" ht="80.099999999999994" customHeight="1" x14ac:dyDescent="0.25">
      <c r="A2" s="25">
        <v>1</v>
      </c>
      <c r="B2" s="25" t="s">
        <v>67</v>
      </c>
      <c r="C2" s="25" t="s">
        <v>28</v>
      </c>
      <c r="D2" s="25" t="s">
        <v>29</v>
      </c>
      <c r="E2" s="25" t="s">
        <v>30</v>
      </c>
      <c r="F2" s="25">
        <v>25452145</v>
      </c>
      <c r="G2" s="26">
        <v>29356</v>
      </c>
      <c r="H2" s="25" t="s">
        <v>31</v>
      </c>
      <c r="I2" s="25" t="s">
        <v>32</v>
      </c>
      <c r="J2" s="25" t="s">
        <v>79</v>
      </c>
      <c r="K2" s="26">
        <v>36671</v>
      </c>
      <c r="L2" s="25">
        <v>4000</v>
      </c>
      <c r="M2" s="90"/>
    </row>
    <row r="3" spans="1:15" ht="80.099999999999994" customHeight="1" x14ac:dyDescent="0.25">
      <c r="A3" s="25">
        <v>2</v>
      </c>
      <c r="B3" s="25" t="s">
        <v>68</v>
      </c>
      <c r="C3" s="25" t="s">
        <v>33</v>
      </c>
      <c r="D3" s="25" t="s">
        <v>34</v>
      </c>
      <c r="E3" s="25" t="s">
        <v>35</v>
      </c>
      <c r="F3" s="25">
        <v>12458745</v>
      </c>
      <c r="G3" s="26">
        <v>29357</v>
      </c>
      <c r="H3" s="25" t="s">
        <v>31</v>
      </c>
      <c r="I3" s="25" t="s">
        <v>36</v>
      </c>
      <c r="J3" s="25" t="s">
        <v>80</v>
      </c>
      <c r="K3" s="26">
        <v>36672</v>
      </c>
      <c r="L3" s="25">
        <v>1500</v>
      </c>
      <c r="M3" s="90"/>
    </row>
    <row r="4" spans="1:15" ht="80.099999999999994" customHeight="1" x14ac:dyDescent="0.25">
      <c r="A4" s="25">
        <v>3</v>
      </c>
      <c r="B4" s="25" t="s">
        <v>69</v>
      </c>
      <c r="C4" s="25" t="s">
        <v>37</v>
      </c>
      <c r="D4" s="25" t="s">
        <v>38</v>
      </c>
      <c r="E4" s="25" t="s">
        <v>35</v>
      </c>
      <c r="F4" s="25">
        <v>32658745</v>
      </c>
      <c r="G4" s="26">
        <v>29358</v>
      </c>
      <c r="H4" s="25" t="s">
        <v>31</v>
      </c>
      <c r="I4" s="25" t="s">
        <v>36</v>
      </c>
      <c r="J4" s="25" t="s">
        <v>81</v>
      </c>
      <c r="K4" s="26">
        <v>36673</v>
      </c>
      <c r="L4" s="25">
        <v>1500</v>
      </c>
      <c r="M4" s="90"/>
    </row>
    <row r="5" spans="1:15" ht="80.099999999999994" customHeight="1" x14ac:dyDescent="0.25">
      <c r="A5" s="25">
        <v>4</v>
      </c>
      <c r="B5" s="25" t="s">
        <v>70</v>
      </c>
      <c r="C5" s="25" t="s">
        <v>39</v>
      </c>
      <c r="D5" s="25" t="s">
        <v>40</v>
      </c>
      <c r="E5" s="25" t="s">
        <v>41</v>
      </c>
      <c r="F5" s="25">
        <v>65548798</v>
      </c>
      <c r="G5" s="26">
        <v>29359</v>
      </c>
      <c r="H5" s="25" t="s">
        <v>42</v>
      </c>
      <c r="I5" s="25" t="s">
        <v>32</v>
      </c>
      <c r="J5" s="25" t="s">
        <v>79</v>
      </c>
      <c r="K5" s="26">
        <v>36674</v>
      </c>
      <c r="L5" s="25">
        <v>1600</v>
      </c>
      <c r="M5" s="90"/>
    </row>
    <row r="6" spans="1:15" ht="80.099999999999994" customHeight="1" x14ac:dyDescent="0.25">
      <c r="A6" s="25">
        <v>5</v>
      </c>
      <c r="B6" s="25" t="s">
        <v>71</v>
      </c>
      <c r="C6" s="25" t="s">
        <v>43</v>
      </c>
      <c r="D6" s="25" t="s">
        <v>44</v>
      </c>
      <c r="E6" s="25" t="s">
        <v>83</v>
      </c>
      <c r="F6" s="25">
        <v>32215465</v>
      </c>
      <c r="G6" s="26">
        <v>31186</v>
      </c>
      <c r="H6" s="25" t="s">
        <v>31</v>
      </c>
      <c r="I6" s="25" t="s">
        <v>32</v>
      </c>
      <c r="J6" s="25" t="s">
        <v>80</v>
      </c>
      <c r="K6" s="26">
        <v>36675</v>
      </c>
      <c r="L6" s="25">
        <v>2000</v>
      </c>
      <c r="M6" s="90"/>
    </row>
    <row r="7" spans="1:15" ht="80.099999999999994" customHeight="1" x14ac:dyDescent="0.25">
      <c r="A7" s="25">
        <v>6</v>
      </c>
      <c r="B7" s="25" t="s">
        <v>72</v>
      </c>
      <c r="C7" s="25" t="s">
        <v>45</v>
      </c>
      <c r="D7" s="25" t="s">
        <v>46</v>
      </c>
      <c r="E7" s="25" t="s">
        <v>47</v>
      </c>
      <c r="F7" s="25">
        <v>32655498</v>
      </c>
      <c r="G7" s="26">
        <v>29361</v>
      </c>
      <c r="H7" s="25" t="s">
        <v>31</v>
      </c>
      <c r="I7" s="25" t="s">
        <v>36</v>
      </c>
      <c r="J7" s="25" t="s">
        <v>81</v>
      </c>
      <c r="K7" s="26">
        <v>36676</v>
      </c>
      <c r="L7" s="25">
        <v>1800</v>
      </c>
      <c r="M7" s="90"/>
    </row>
    <row r="8" spans="1:15" ht="80.099999999999994" customHeight="1" x14ac:dyDescent="0.25">
      <c r="A8" s="25">
        <v>7</v>
      </c>
      <c r="B8" s="25" t="s">
        <v>73</v>
      </c>
      <c r="C8" s="25" t="s">
        <v>48</v>
      </c>
      <c r="D8" s="25" t="s">
        <v>49</v>
      </c>
      <c r="E8" s="25" t="s">
        <v>82</v>
      </c>
      <c r="F8" s="25">
        <v>32546565</v>
      </c>
      <c r="G8" s="26">
        <v>29362</v>
      </c>
      <c r="H8" s="25" t="s">
        <v>31</v>
      </c>
      <c r="I8" s="25" t="s">
        <v>36</v>
      </c>
      <c r="J8" s="25" t="s">
        <v>79</v>
      </c>
      <c r="K8" s="26">
        <v>39553</v>
      </c>
      <c r="L8" s="25">
        <v>3500</v>
      </c>
      <c r="M8" s="90"/>
    </row>
    <row r="9" spans="1:15" ht="80.099999999999994" customHeight="1" x14ac:dyDescent="0.25">
      <c r="A9" s="25">
        <v>8</v>
      </c>
      <c r="B9" s="25" t="s">
        <v>74</v>
      </c>
      <c r="C9" s="25" t="s">
        <v>50</v>
      </c>
      <c r="D9" s="25" t="s">
        <v>51</v>
      </c>
      <c r="E9" s="25" t="s">
        <v>41</v>
      </c>
      <c r="F9" s="25">
        <v>54986565</v>
      </c>
      <c r="G9" s="26">
        <v>32238</v>
      </c>
      <c r="H9" s="25" t="s">
        <v>42</v>
      </c>
      <c r="I9" s="25" t="s">
        <v>32</v>
      </c>
      <c r="J9" s="25" t="s">
        <v>80</v>
      </c>
      <c r="K9" s="26">
        <v>38458</v>
      </c>
      <c r="L9" s="25">
        <v>1600</v>
      </c>
      <c r="M9" s="90"/>
      <c r="N9"/>
    </row>
    <row r="10" spans="1:15" ht="80.099999999999994" customHeight="1" x14ac:dyDescent="0.25">
      <c r="A10" s="25">
        <v>9</v>
      </c>
      <c r="B10" s="25" t="s">
        <v>75</v>
      </c>
      <c r="C10" s="25" t="s">
        <v>52</v>
      </c>
      <c r="D10" s="25" t="s">
        <v>53</v>
      </c>
      <c r="E10" s="25" t="s">
        <v>35</v>
      </c>
      <c r="F10" s="25">
        <v>32456598</v>
      </c>
      <c r="G10" s="26">
        <v>29364</v>
      </c>
      <c r="H10" s="25" t="s">
        <v>31</v>
      </c>
      <c r="I10" s="25" t="s">
        <v>36</v>
      </c>
      <c r="J10" s="25" t="s">
        <v>81</v>
      </c>
      <c r="K10" s="26">
        <v>38459</v>
      </c>
      <c r="L10" s="25">
        <v>1500</v>
      </c>
      <c r="M10" s="90"/>
    </row>
    <row r="11" spans="1:15" ht="80.099999999999994" customHeight="1" x14ac:dyDescent="0.25">
      <c r="A11" s="25">
        <v>10</v>
      </c>
      <c r="B11" s="25" t="s">
        <v>76</v>
      </c>
      <c r="C11" s="25" t="s">
        <v>54</v>
      </c>
      <c r="D11" s="25" t="s">
        <v>55</v>
      </c>
      <c r="E11" s="25" t="s">
        <v>47</v>
      </c>
      <c r="F11" s="25">
        <v>15245241</v>
      </c>
      <c r="G11" s="26">
        <v>29365</v>
      </c>
      <c r="H11" s="25" t="s">
        <v>31</v>
      </c>
      <c r="I11" s="25" t="s">
        <v>36</v>
      </c>
      <c r="J11" s="25" t="s">
        <v>79</v>
      </c>
      <c r="K11" s="26">
        <v>38460</v>
      </c>
      <c r="L11" s="25">
        <v>1800</v>
      </c>
      <c r="M11" s="90"/>
    </row>
    <row r="12" spans="1:15" ht="80.099999999999994" customHeight="1" x14ac:dyDescent="0.25">
      <c r="A12" s="25">
        <v>11</v>
      </c>
      <c r="B12" s="25" t="s">
        <v>77</v>
      </c>
      <c r="C12" s="25" t="s">
        <v>56</v>
      </c>
      <c r="D12" s="25" t="s">
        <v>57</v>
      </c>
      <c r="E12" s="25" t="s">
        <v>41</v>
      </c>
      <c r="F12" s="25">
        <v>65852545</v>
      </c>
      <c r="G12" s="26">
        <v>30056</v>
      </c>
      <c r="H12" s="25" t="s">
        <v>42</v>
      </c>
      <c r="I12" s="25" t="s">
        <v>32</v>
      </c>
      <c r="J12" s="25" t="s">
        <v>80</v>
      </c>
      <c r="K12" s="26">
        <v>38461</v>
      </c>
      <c r="L12" s="25">
        <v>1600</v>
      </c>
      <c r="M12" s="90"/>
    </row>
    <row r="13" spans="1:15" ht="80.099999999999994" customHeight="1" x14ac:dyDescent="0.25">
      <c r="A13" s="25">
        <v>12</v>
      </c>
      <c r="B13" s="25" t="s">
        <v>78</v>
      </c>
      <c r="C13" s="25" t="s">
        <v>58</v>
      </c>
      <c r="D13" s="25" t="s">
        <v>59</v>
      </c>
      <c r="E13" s="25" t="s">
        <v>41</v>
      </c>
      <c r="F13" s="25">
        <v>65985454</v>
      </c>
      <c r="G13" s="26">
        <v>30057</v>
      </c>
      <c r="H13" s="25" t="s">
        <v>42</v>
      </c>
      <c r="I13" s="25" t="s">
        <v>32</v>
      </c>
      <c r="J13" s="25" t="s">
        <v>81</v>
      </c>
      <c r="K13" s="26">
        <v>38462</v>
      </c>
      <c r="L13" s="25">
        <v>1600</v>
      </c>
      <c r="M13" s="90"/>
      <c r="O13"/>
    </row>
    <row r="14" spans="1:15" ht="80.099999999999994" customHeight="1" x14ac:dyDescent="0.25">
      <c r="A14" s="90">
        <v>13</v>
      </c>
      <c r="B14" s="90" t="s">
        <v>130</v>
      </c>
      <c r="C14" s="90" t="s">
        <v>131</v>
      </c>
      <c r="D14" s="90" t="s">
        <v>132</v>
      </c>
      <c r="E14" s="90" t="s">
        <v>35</v>
      </c>
      <c r="F14" s="90">
        <v>11223344</v>
      </c>
      <c r="G14" s="91">
        <v>29576</v>
      </c>
      <c r="H14" s="92" t="s">
        <v>31</v>
      </c>
      <c r="I14" s="90" t="s">
        <v>36</v>
      </c>
      <c r="J14" s="90" t="s">
        <v>86</v>
      </c>
      <c r="K14" s="91">
        <v>38518</v>
      </c>
      <c r="L14" s="90">
        <v>1025</v>
      </c>
      <c r="M14" s="90"/>
    </row>
    <row r="15" spans="1:15" ht="80.099999999999994" customHeight="1" x14ac:dyDescent="0.25">
      <c r="A15" s="90">
        <v>14</v>
      </c>
      <c r="B15" s="90" t="s">
        <v>133</v>
      </c>
      <c r="C15" s="90" t="s">
        <v>134</v>
      </c>
      <c r="D15" s="90" t="s">
        <v>135</v>
      </c>
      <c r="E15" s="90" t="s">
        <v>47</v>
      </c>
      <c r="F15" s="90">
        <v>29375023</v>
      </c>
      <c r="G15" s="91">
        <v>25858</v>
      </c>
      <c r="H15" s="92" t="s">
        <v>31</v>
      </c>
      <c r="I15" s="90" t="s">
        <v>32</v>
      </c>
      <c r="J15" s="90" t="s">
        <v>88</v>
      </c>
      <c r="K15" s="91">
        <v>37125</v>
      </c>
      <c r="L15" s="90">
        <v>2000</v>
      </c>
      <c r="M15" s="90"/>
      <c r="N15"/>
    </row>
    <row r="16" spans="1:15" x14ac:dyDescent="0.25">
      <c r="A16" s="90">
        <v>15</v>
      </c>
      <c r="B16" s="90" t="s">
        <v>136</v>
      </c>
      <c r="C16" s="90" t="s">
        <v>138</v>
      </c>
      <c r="D16" s="90" t="s">
        <v>139</v>
      </c>
      <c r="E16" s="90" t="s">
        <v>30</v>
      </c>
      <c r="F16" s="90">
        <v>54215454</v>
      </c>
      <c r="G16" s="91">
        <v>36657</v>
      </c>
      <c r="H16" s="92" t="s">
        <v>31</v>
      </c>
      <c r="I16" s="90" t="s">
        <v>32</v>
      </c>
      <c r="J16" s="90" t="s">
        <v>86</v>
      </c>
      <c r="K16" s="91">
        <v>44692</v>
      </c>
      <c r="L16" s="90">
        <v>2000</v>
      </c>
      <c r="M16" s="90"/>
    </row>
    <row r="17" spans="8:8" x14ac:dyDescent="0.25">
      <c r="H17" s="9"/>
    </row>
    <row r="18" spans="8:8" x14ac:dyDescent="0.25">
      <c r="H18" s="9"/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B2:K22"/>
  <sheetViews>
    <sheetView topLeftCell="A5" zoomScale="110" zoomScaleNormal="110" workbookViewId="0">
      <selection activeCell="K13" sqref="K13"/>
    </sheetView>
  </sheetViews>
  <sheetFormatPr baseColWidth="10" defaultColWidth="11.42578125" defaultRowHeight="15" x14ac:dyDescent="0.25"/>
  <cols>
    <col min="1" max="1" width="1.85546875" style="4" customWidth="1"/>
    <col min="2" max="2" width="14.7109375" style="4" customWidth="1"/>
    <col min="3" max="3" width="16.7109375" style="4" customWidth="1"/>
    <col min="4" max="4" width="11.42578125" style="4"/>
    <col min="5" max="5" width="8.140625" style="4" customWidth="1"/>
    <col min="6" max="7" width="7" style="4" customWidth="1"/>
    <col min="8" max="8" width="16.42578125" style="4" customWidth="1"/>
    <col min="9" max="9" width="6.28515625" style="4" customWidth="1"/>
    <col min="10" max="16384" width="11.42578125" style="4"/>
  </cols>
  <sheetData>
    <row r="2" spans="2:11" ht="27.75" customHeight="1" x14ac:dyDescent="0.55000000000000004">
      <c r="B2" s="28"/>
      <c r="C2" s="32" t="s">
        <v>0</v>
      </c>
      <c r="D2" s="28"/>
      <c r="E2" s="28"/>
      <c r="F2" s="28"/>
      <c r="G2" s="28"/>
      <c r="H2" s="28"/>
    </row>
    <row r="3" spans="2:11" x14ac:dyDescent="0.25">
      <c r="B3" s="2"/>
      <c r="C3" s="2"/>
      <c r="D3" s="2"/>
      <c r="E3" s="2"/>
      <c r="F3" s="2"/>
      <c r="G3" s="2"/>
      <c r="H3" s="2"/>
      <c r="I3" s="2"/>
    </row>
    <row r="4" spans="2:11" ht="12.75" customHeight="1" x14ac:dyDescent="0.25">
      <c r="B4" s="98" t="s">
        <v>66</v>
      </c>
      <c r="C4" s="98"/>
      <c r="D4" s="98"/>
      <c r="E4" s="98"/>
      <c r="F4" s="98"/>
      <c r="G4" s="98"/>
      <c r="H4" s="98"/>
      <c r="I4" s="98"/>
    </row>
    <row r="5" spans="2:11" ht="15.75" customHeight="1" x14ac:dyDescent="0.25">
      <c r="B5" s="2"/>
      <c r="C5" s="2"/>
      <c r="D5" s="2"/>
      <c r="E5" s="2"/>
      <c r="F5" s="2"/>
      <c r="G5" s="2"/>
      <c r="H5" s="2"/>
      <c r="I5" s="2"/>
    </row>
    <row r="8" spans="2:11" x14ac:dyDescent="0.25">
      <c r="B8" s="30" t="s">
        <v>17</v>
      </c>
      <c r="C8" s="13" t="s">
        <v>140</v>
      </c>
    </row>
    <row r="9" spans="2:11" x14ac:dyDescent="0.25">
      <c r="B9" s="30"/>
      <c r="C9" s="29"/>
    </row>
    <row r="10" spans="2:11" x14ac:dyDescent="0.25">
      <c r="B10" s="30" t="s">
        <v>18</v>
      </c>
      <c r="C10" s="13"/>
      <c r="G10" s="30" t="s">
        <v>23</v>
      </c>
      <c r="H10" s="36"/>
      <c r="K10" s="4" t="s">
        <v>141</v>
      </c>
    </row>
    <row r="11" spans="2:11" x14ac:dyDescent="0.25">
      <c r="B11" s="30"/>
      <c r="C11" s="29"/>
      <c r="G11" s="30"/>
      <c r="H11" s="29"/>
    </row>
    <row r="12" spans="2:11" x14ac:dyDescent="0.25">
      <c r="B12" s="30" t="s">
        <v>19</v>
      </c>
      <c r="C12" s="13"/>
      <c r="G12" s="30" t="s">
        <v>24</v>
      </c>
      <c r="H12" s="36"/>
    </row>
    <row r="13" spans="2:11" x14ac:dyDescent="0.25">
      <c r="B13" s="30"/>
      <c r="C13" s="29"/>
      <c r="G13" s="30"/>
      <c r="H13" s="29"/>
    </row>
    <row r="14" spans="2:11" x14ac:dyDescent="0.25">
      <c r="B14" s="30" t="s">
        <v>20</v>
      </c>
      <c r="C14" s="36">
        <v>3</v>
      </c>
      <c r="G14" s="30" t="s">
        <v>25</v>
      </c>
      <c r="H14" s="36"/>
    </row>
    <row r="15" spans="2:11" x14ac:dyDescent="0.25">
      <c r="B15" s="30"/>
      <c r="C15" s="29"/>
      <c r="G15" s="30"/>
      <c r="H15" s="29"/>
    </row>
    <row r="16" spans="2:11" x14ac:dyDescent="0.25">
      <c r="B16" s="30" t="s">
        <v>21</v>
      </c>
      <c r="C16" s="13"/>
      <c r="G16" s="30" t="s">
        <v>26</v>
      </c>
      <c r="H16" s="39"/>
    </row>
    <row r="17" spans="2:9" x14ac:dyDescent="0.25">
      <c r="B17" s="30"/>
      <c r="C17" s="29"/>
      <c r="G17" s="30"/>
    </row>
    <row r="18" spans="2:9" x14ac:dyDescent="0.25">
      <c r="B18" s="30" t="s">
        <v>22</v>
      </c>
      <c r="C18" s="39"/>
      <c r="G18" s="30" t="s">
        <v>27</v>
      </c>
      <c r="H18" s="40"/>
    </row>
    <row r="19" spans="2:9" x14ac:dyDescent="0.25">
      <c r="C19" s="30"/>
      <c r="D19" s="29"/>
    </row>
    <row r="21" spans="2:9" x14ac:dyDescent="0.25">
      <c r="B21" s="2"/>
      <c r="C21" s="2"/>
      <c r="D21" s="2"/>
      <c r="E21" s="2"/>
      <c r="F21" s="2"/>
      <c r="G21" s="2"/>
      <c r="H21" s="2"/>
      <c r="I21" s="2"/>
    </row>
    <row r="22" spans="2:9" x14ac:dyDescent="0.25">
      <c r="B22" s="2"/>
      <c r="C22" s="2"/>
      <c r="D22" s="2"/>
      <c r="E22" s="2"/>
      <c r="F22" s="2"/>
      <c r="G22" s="2"/>
      <c r="H22" s="2"/>
      <c r="I22" s="2"/>
    </row>
  </sheetData>
  <mergeCells count="1">
    <mergeCell ref="B4:I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9">
              <controlPr defaultSize="0" print="0" autoFill="0" autoPict="0" macro="[0]!RegistrarDatos">
                <anchor moveWithCells="1" sizeWithCells="1">
                  <from>
                    <xdr:col>1</xdr:col>
                    <xdr:colOff>571500</xdr:colOff>
                    <xdr:row>20</xdr:row>
                    <xdr:rowOff>76200</xdr:rowOff>
                  </from>
                  <to>
                    <xdr:col>2</xdr:col>
                    <xdr:colOff>790575</xdr:colOff>
                    <xdr:row>21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10">
              <controlPr defaultSize="0" print="0" autoFill="0" autoPict="0" macro="[0]!VistaPrevia">
                <anchor moveWithCells="1" sizeWithCells="1">
                  <from>
                    <xdr:col>5</xdr:col>
                    <xdr:colOff>0</xdr:colOff>
                    <xdr:row>20</xdr:row>
                    <xdr:rowOff>76200</xdr:rowOff>
                  </from>
                  <to>
                    <xdr:col>6</xdr:col>
                    <xdr:colOff>647700</xdr:colOff>
                    <xdr:row>21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9">
              <controlPr defaultSize="0" print="0" autoFill="0" autoPict="0" macro="[0]!Restablecer">
                <anchor moveWithCells="1" sizeWithCells="1">
                  <from>
                    <xdr:col>2</xdr:col>
                    <xdr:colOff>1181100</xdr:colOff>
                    <xdr:row>20</xdr:row>
                    <xdr:rowOff>76200</xdr:rowOff>
                  </from>
                  <to>
                    <xdr:col>4</xdr:col>
                    <xdr:colOff>381000</xdr:colOff>
                    <xdr:row>21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10">
              <controlPr defaultSize="0" print="0" autoFill="0" autoPict="0" macro="[0]!PRINCIPAL">
                <anchor moveWithCells="1" sizeWithCells="1">
                  <from>
                    <xdr:col>7</xdr:col>
                    <xdr:colOff>276225</xdr:colOff>
                    <xdr:row>20</xdr:row>
                    <xdr:rowOff>76200</xdr:rowOff>
                  </from>
                  <to>
                    <xdr:col>8</xdr:col>
                    <xdr:colOff>647700</xdr:colOff>
                    <xdr:row>21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Drop Down 5">
              <controlPr defaultSize="0" autoLine="0" autoPict="0">
                <anchor moveWithCells="1">
                  <from>
                    <xdr:col>2</xdr:col>
                    <xdr:colOff>9525</xdr:colOff>
                    <xdr:row>13</xdr:row>
                    <xdr:rowOff>9525</xdr:rowOff>
                  </from>
                  <to>
                    <xdr:col>2</xdr:col>
                    <xdr:colOff>1162050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Drop Down 6">
              <controlPr defaultSize="0" autoLine="0" autoPict="0">
                <anchor moveWithCells="1">
                  <from>
                    <xdr:col>7</xdr:col>
                    <xdr:colOff>9525</xdr:colOff>
                    <xdr:row>9</xdr:row>
                    <xdr:rowOff>9525</xdr:rowOff>
                  </from>
                  <to>
                    <xdr:col>7</xdr:col>
                    <xdr:colOff>1133475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Drop Down 7">
              <controlPr defaultSize="0" autoLine="0" autoPict="0">
                <anchor moveWithCells="1">
                  <from>
                    <xdr:col>7</xdr:col>
                    <xdr:colOff>9525</xdr:colOff>
                    <xdr:row>11</xdr:row>
                    <xdr:rowOff>9525</xdr:rowOff>
                  </from>
                  <to>
                    <xdr:col>7</xdr:col>
                    <xdr:colOff>1143000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Drop Down 8">
              <controlPr defaultSize="0" autoLine="0" autoPict="0">
                <anchor moveWithCells="1">
                  <from>
                    <xdr:col>7</xdr:col>
                    <xdr:colOff>9525</xdr:colOff>
                    <xdr:row>13</xdr:row>
                    <xdr:rowOff>9525</xdr:rowOff>
                  </from>
                  <to>
                    <xdr:col>7</xdr:col>
                    <xdr:colOff>1143000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D7"/>
  <sheetViews>
    <sheetView showGridLines="0" workbookViewId="0">
      <selection activeCell="A3" sqref="A3"/>
    </sheetView>
  </sheetViews>
  <sheetFormatPr baseColWidth="10" defaultColWidth="11.42578125" defaultRowHeight="15" x14ac:dyDescent="0.25"/>
  <cols>
    <col min="1" max="1" width="11.42578125" style="49"/>
    <col min="2" max="2" width="20.85546875" style="49" customWidth="1"/>
    <col min="3" max="16384" width="11.42578125" style="49"/>
  </cols>
  <sheetData>
    <row r="1" spans="1:4" x14ac:dyDescent="0.25">
      <c r="A1" s="25" t="s">
        <v>20</v>
      </c>
      <c r="B1" s="49" t="s">
        <v>85</v>
      </c>
      <c r="C1" s="49" t="s">
        <v>24</v>
      </c>
      <c r="D1" s="49" t="s">
        <v>25</v>
      </c>
    </row>
    <row r="2" spans="1:4" x14ac:dyDescent="0.25">
      <c r="A2" s="25" t="s">
        <v>30</v>
      </c>
      <c r="B2" s="49" t="s">
        <v>31</v>
      </c>
      <c r="C2" s="49" t="s">
        <v>32</v>
      </c>
      <c r="D2" s="49" t="s">
        <v>86</v>
      </c>
    </row>
    <row r="3" spans="1:4" x14ac:dyDescent="0.25">
      <c r="A3" s="25" t="s">
        <v>35</v>
      </c>
      <c r="B3" s="49" t="s">
        <v>42</v>
      </c>
      <c r="C3" s="49" t="s">
        <v>36</v>
      </c>
      <c r="D3" s="49" t="s">
        <v>87</v>
      </c>
    </row>
    <row r="4" spans="1:4" x14ac:dyDescent="0.25">
      <c r="A4" s="25" t="s">
        <v>41</v>
      </c>
      <c r="D4" s="49" t="s">
        <v>88</v>
      </c>
    </row>
    <row r="5" spans="1:4" x14ac:dyDescent="0.25">
      <c r="A5" s="25" t="s">
        <v>83</v>
      </c>
    </row>
    <row r="6" spans="1:4" x14ac:dyDescent="0.25">
      <c r="A6" s="25" t="s">
        <v>47</v>
      </c>
    </row>
    <row r="7" spans="1:4" x14ac:dyDescent="0.25">
      <c r="A7" s="2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1:M31"/>
  <sheetViews>
    <sheetView zoomScaleNormal="100" workbookViewId="0">
      <selection activeCell="K8" sqref="K8"/>
    </sheetView>
  </sheetViews>
  <sheetFormatPr baseColWidth="10" defaultColWidth="11.42578125" defaultRowHeight="15" x14ac:dyDescent="0.25"/>
  <cols>
    <col min="1" max="1" width="11.42578125" style="1"/>
    <col min="2" max="2" width="19.28515625" style="1" customWidth="1"/>
    <col min="3" max="3" width="13.7109375" style="1" customWidth="1"/>
    <col min="4" max="4" width="14.5703125" style="1" customWidth="1"/>
    <col min="5" max="5" width="14.140625" style="1" customWidth="1"/>
    <col min="6" max="7" width="11.42578125" style="1"/>
    <col min="8" max="8" width="11.140625" style="1" customWidth="1"/>
    <col min="9" max="9" width="4.42578125" style="1" customWidth="1"/>
    <col min="10" max="16384" width="11.42578125" style="1"/>
  </cols>
  <sheetData>
    <row r="1" spans="2:13" ht="39" customHeight="1" x14ac:dyDescent="0.25">
      <c r="B1" s="99" t="s">
        <v>0</v>
      </c>
      <c r="C1" s="99"/>
      <c r="D1" s="99"/>
      <c r="E1" s="99"/>
      <c r="F1" s="99"/>
      <c r="G1" s="99"/>
      <c r="H1" s="99"/>
      <c r="I1" s="99"/>
    </row>
    <row r="2" spans="2:13" ht="6" customHeight="1" x14ac:dyDescent="0.25">
      <c r="B2" s="2"/>
      <c r="C2" s="2"/>
      <c r="D2" s="2"/>
      <c r="E2" s="2"/>
      <c r="F2" s="2"/>
      <c r="G2" s="2"/>
      <c r="H2" s="2"/>
      <c r="I2" s="2"/>
    </row>
    <row r="3" spans="2:13" s="3" customFormat="1" ht="17.25" customHeight="1" x14ac:dyDescent="0.4">
      <c r="B3" s="100" t="s">
        <v>1</v>
      </c>
      <c r="C3" s="100"/>
      <c r="D3" s="100"/>
      <c r="E3" s="100"/>
      <c r="F3" s="100"/>
      <c r="G3" s="100"/>
      <c r="H3" s="100"/>
      <c r="I3" s="100"/>
    </row>
    <row r="4" spans="2:13" ht="6" customHeight="1" x14ac:dyDescent="0.25">
      <c r="B4" s="2"/>
      <c r="C4" s="2"/>
      <c r="D4" s="2"/>
      <c r="E4" s="2"/>
      <c r="F4" s="2"/>
      <c r="G4" s="2"/>
      <c r="H4" s="2"/>
      <c r="I4" s="2"/>
    </row>
    <row r="5" spans="2:13" ht="17.25" customHeight="1" x14ac:dyDescent="0.4">
      <c r="B5" s="4"/>
      <c r="C5" s="4"/>
      <c r="D5" s="4"/>
      <c r="E5" s="4"/>
      <c r="F5" s="4"/>
      <c r="G5" s="4"/>
      <c r="H5" s="4"/>
      <c r="I5" s="4"/>
      <c r="K5" s="3"/>
      <c r="L5" s="3"/>
      <c r="M5" s="3"/>
    </row>
    <row r="6" spans="2:13" s="9" customFormat="1" ht="17.100000000000001" customHeight="1" x14ac:dyDescent="0.25">
      <c r="B6" s="27" t="s">
        <v>63</v>
      </c>
      <c r="C6" s="6">
        <v>9</v>
      </c>
      <c r="D6" s="7"/>
      <c r="E6" s="4"/>
      <c r="F6" s="4"/>
      <c r="G6" s="4"/>
      <c r="H6" s="4"/>
      <c r="I6" s="5"/>
      <c r="K6" s="1"/>
      <c r="L6" s="1"/>
      <c r="M6" s="1"/>
    </row>
    <row r="7" spans="2:13" s="9" customFormat="1" ht="27" thickBot="1" x14ac:dyDescent="0.45">
      <c r="B7" s="5"/>
      <c r="C7" s="5"/>
      <c r="D7" s="7"/>
      <c r="E7" s="4"/>
      <c r="F7" s="4"/>
      <c r="G7" s="4"/>
      <c r="H7" s="4"/>
      <c r="I7" s="5"/>
      <c r="K7" s="3"/>
      <c r="L7" s="3"/>
      <c r="M7" s="3"/>
    </row>
    <row r="8" spans="2:13" s="9" customFormat="1" ht="17.100000000000001" customHeight="1" x14ac:dyDescent="0.25">
      <c r="B8" s="5" t="s">
        <v>3</v>
      </c>
      <c r="C8" s="113" t="str">
        <f>IF(ISBLANK(C6),"",CONCATENATE(INDEX(BaseDatos[],C6,3)," ",INDEX(BaseDatos[],C6,4)))</f>
        <v>Maribel Mendez Correa</v>
      </c>
      <c r="D8" s="113"/>
      <c r="E8" s="47"/>
      <c r="F8" s="8" t="s">
        <v>2</v>
      </c>
      <c r="G8" s="5"/>
      <c r="H8" s="46" t="str">
        <f>IF(ISBLANK(C6),"",INDEX(BaseDatos[],C6,8))</f>
        <v>Empleado</v>
      </c>
      <c r="I8" s="5"/>
      <c r="K8" s="1"/>
      <c r="L8" s="1"/>
      <c r="M8" s="1"/>
    </row>
    <row r="9" spans="2:13" s="9" customFormat="1" x14ac:dyDescent="0.25">
      <c r="B9" s="5"/>
      <c r="C9" s="5"/>
      <c r="D9" s="5"/>
      <c r="E9" s="34"/>
      <c r="F9" s="5"/>
      <c r="G9" s="5"/>
      <c r="H9" s="5"/>
      <c r="I9" s="5"/>
    </row>
    <row r="10" spans="2:13" s="9" customFormat="1" ht="17.100000000000001" customHeight="1" x14ac:dyDescent="0.25">
      <c r="B10" s="5" t="s">
        <v>5</v>
      </c>
      <c r="C10" s="6" t="str">
        <f>IF(ISBLANK(C6),"",INDEX(BaseDatos[],C6,5))</f>
        <v>Asistente</v>
      </c>
      <c r="D10" s="5"/>
      <c r="E10" s="34"/>
      <c r="F10" s="5" t="s">
        <v>4</v>
      </c>
      <c r="G10" s="5"/>
      <c r="H10" s="46" t="str">
        <f>IF(ISBLANK(C6),"",INDEX(BaseDatos[],C6,9))</f>
        <v>Estable</v>
      </c>
      <c r="I10" s="5"/>
    </row>
    <row r="11" spans="2:13" s="9" customFormat="1" x14ac:dyDescent="0.25">
      <c r="B11" s="5"/>
      <c r="C11" s="5"/>
      <c r="D11" s="5"/>
      <c r="E11" s="34"/>
      <c r="F11" s="5"/>
      <c r="G11" s="5"/>
      <c r="H11" s="5"/>
      <c r="I11" s="5"/>
    </row>
    <row r="12" spans="2:13" s="9" customFormat="1" ht="17.100000000000001" customHeight="1" x14ac:dyDescent="0.25">
      <c r="B12" s="5" t="s">
        <v>64</v>
      </c>
      <c r="C12" s="6" t="str">
        <f>IF(ISBLANK(C6),"",INDEX(BaseDatos[],C6,2))</f>
        <v>OPER09</v>
      </c>
      <c r="D12" s="5"/>
      <c r="E12" s="34"/>
      <c r="F12" s="5" t="s">
        <v>6</v>
      </c>
      <c r="G12" s="5"/>
      <c r="H12" s="46" t="str">
        <f>IF(ISBLANK(C6),"",INDEX(BaseDatos[],C6,10))</f>
        <v>SURA</v>
      </c>
      <c r="I12" s="5"/>
    </row>
    <row r="13" spans="2:13" s="9" customFormat="1" ht="17.100000000000001" customHeight="1" thickBot="1" x14ac:dyDescent="0.3">
      <c r="B13" s="5"/>
      <c r="C13" s="5"/>
      <c r="D13" s="5"/>
      <c r="E13" s="35"/>
      <c r="F13" s="5"/>
      <c r="G13" s="5"/>
      <c r="H13" s="5"/>
      <c r="I13" s="5"/>
    </row>
    <row r="14" spans="2:13" s="9" customFormat="1" ht="17.100000000000001" customHeight="1" x14ac:dyDescent="0.25">
      <c r="B14" s="5" t="s">
        <v>60</v>
      </c>
      <c r="C14" s="10">
        <f>IF(ISBLANK(C6),"",INDEX(BaseDatos[],C6,7))</f>
        <v>29364</v>
      </c>
      <c r="D14" s="5"/>
      <c r="E14" s="4" t="s">
        <v>84</v>
      </c>
      <c r="F14" s="5" t="s">
        <v>7</v>
      </c>
      <c r="G14" s="5"/>
      <c r="H14" s="10">
        <f>IF(ISBLANK(C6),"",INDEX(BaseDatos[],C6,11))</f>
        <v>38459</v>
      </c>
      <c r="I14" s="5"/>
    </row>
    <row r="15" spans="2:13" s="9" customFormat="1" ht="12" x14ac:dyDescent="0.2">
      <c r="B15" s="5"/>
      <c r="C15" s="5"/>
      <c r="D15" s="5"/>
      <c r="E15" s="5"/>
      <c r="F15" s="5"/>
      <c r="G15" s="5"/>
      <c r="H15" s="5"/>
      <c r="I15" s="5"/>
    </row>
    <row r="17" spans="2:13" ht="17.100000000000001" customHeight="1" x14ac:dyDescent="0.25">
      <c r="B17" s="11" t="s">
        <v>8</v>
      </c>
      <c r="C17" s="12"/>
      <c r="D17" s="41">
        <f>IF(ISBLANK(C6),"",INDEX(BaseDatos[],C6,12))</f>
        <v>1500</v>
      </c>
      <c r="E17" s="12"/>
      <c r="F17" s="12" t="s">
        <v>9</v>
      </c>
      <c r="G17" s="43" t="e">
        <f>IF(ISBLANK(C6),"",VLOOKUP(H12,AFP,2,0))</f>
        <v>#REF!</v>
      </c>
      <c r="H17" s="13" t="e">
        <f ca="1">IF(ISBLANK(C6),"",G17*D24)</f>
        <v>#REF!</v>
      </c>
      <c r="I17" s="12"/>
      <c r="K17" s="44"/>
      <c r="L17" s="45"/>
      <c r="M17" s="21"/>
    </row>
    <row r="18" spans="2:13" ht="9" customHeight="1" x14ac:dyDescent="0.25">
      <c r="B18" s="12"/>
      <c r="C18" s="12"/>
      <c r="D18" s="12"/>
      <c r="E18" s="12"/>
      <c r="F18" s="12"/>
      <c r="G18" s="12"/>
      <c r="H18" s="12"/>
      <c r="I18" s="12"/>
      <c r="K18" s="21"/>
      <c r="L18" s="21"/>
      <c r="M18" s="21"/>
    </row>
    <row r="19" spans="2:13" ht="17.100000000000001" customHeight="1" x14ac:dyDescent="0.25">
      <c r="B19" s="11" t="s">
        <v>10</v>
      </c>
      <c r="C19" s="12"/>
      <c r="D19" s="14">
        <f ca="1">IF(ISNUMBER(D17),IF(DATEDIF(H14,TODAY(),"Y")&gt;15,D17*50%,0),"")</f>
        <v>750</v>
      </c>
      <c r="E19" s="12"/>
      <c r="F19" s="12" t="s">
        <v>11</v>
      </c>
      <c r="G19" s="94">
        <f>IF(ISBLANK(C6),"",IF(H8="Empleado",7%,0%))</f>
        <v>7.0000000000000007E-2</v>
      </c>
      <c r="H19" s="13">
        <f>IF(ISBLANK(C6),"",D17*G19)</f>
        <v>105.00000000000001</v>
      </c>
      <c r="I19" s="12"/>
    </row>
    <row r="20" spans="2:13" ht="9" customHeight="1" x14ac:dyDescent="0.25">
      <c r="B20" s="12"/>
      <c r="C20" s="12"/>
      <c r="D20" s="12"/>
      <c r="E20" s="12"/>
      <c r="F20" s="12"/>
      <c r="G20" s="12"/>
      <c r="H20" s="12"/>
      <c r="I20" s="12"/>
      <c r="J20" s="42"/>
    </row>
    <row r="21" spans="2:13" ht="17.100000000000001" customHeight="1" x14ac:dyDescent="0.25">
      <c r="B21" s="15" t="s">
        <v>12</v>
      </c>
      <c r="C21" s="24"/>
      <c r="D21" s="13" t="str">
        <f>IF(ISNUMBER(C21),C21*30,"")</f>
        <v/>
      </c>
      <c r="E21" s="12"/>
      <c r="F21" s="12"/>
      <c r="G21" s="12"/>
      <c r="H21" s="12"/>
      <c r="I21" s="12"/>
    </row>
    <row r="22" spans="2:13" x14ac:dyDescent="0.25">
      <c r="B22" s="16"/>
      <c r="C22" s="12"/>
      <c r="D22" s="12"/>
      <c r="E22" s="12"/>
      <c r="F22" s="12"/>
      <c r="G22" s="12"/>
      <c r="H22" s="12"/>
      <c r="I22" s="12"/>
    </row>
    <row r="23" spans="2:13" x14ac:dyDescent="0.25">
      <c r="B23" s="12"/>
      <c r="C23" s="12"/>
      <c r="D23" s="12"/>
      <c r="E23" s="12"/>
      <c r="F23" s="12"/>
      <c r="G23" s="12"/>
      <c r="H23" s="12"/>
      <c r="I23" s="12"/>
    </row>
    <row r="24" spans="2:13" ht="17.100000000000001" customHeight="1" x14ac:dyDescent="0.25">
      <c r="B24" s="12" t="s">
        <v>62</v>
      </c>
      <c r="C24" s="12"/>
      <c r="D24" s="13">
        <f ca="1">IF(C6="","",SUM(D17,D19,D21))</f>
        <v>2250</v>
      </c>
      <c r="E24" s="12"/>
      <c r="F24" s="12" t="s">
        <v>13</v>
      </c>
      <c r="G24" s="12"/>
      <c r="H24" s="14" t="e">
        <f ca="1">IF(ISNUMBER(D17),SUM(H17,H19),"")</f>
        <v>#REF!</v>
      </c>
      <c r="I24" s="12"/>
    </row>
    <row r="25" spans="2:13" x14ac:dyDescent="0.25">
      <c r="C25" s="21"/>
    </row>
    <row r="26" spans="2:13" x14ac:dyDescent="0.25">
      <c r="B26" s="17"/>
      <c r="C26" s="18"/>
      <c r="D26" s="17"/>
      <c r="E26" s="18"/>
      <c r="F26" s="19"/>
      <c r="G26" s="101" t="s">
        <v>61</v>
      </c>
      <c r="H26" s="102"/>
      <c r="I26" s="103"/>
    </row>
    <row r="27" spans="2:13" x14ac:dyDescent="0.25">
      <c r="B27" s="20"/>
      <c r="D27" s="20"/>
      <c r="E27" s="21"/>
      <c r="F27" s="22"/>
      <c r="G27" s="104" t="e">
        <f ca="1">IF(ISNUMBER(D17),D24-H24,"")</f>
        <v>#REF!</v>
      </c>
      <c r="H27" s="105"/>
      <c r="I27" s="106"/>
    </row>
    <row r="28" spans="2:13" x14ac:dyDescent="0.25">
      <c r="B28" s="20"/>
      <c r="C28" s="21"/>
      <c r="D28" s="20"/>
      <c r="E28" s="21"/>
      <c r="F28" s="22"/>
      <c r="G28" s="107"/>
      <c r="H28" s="108"/>
      <c r="I28" s="109"/>
    </row>
    <row r="29" spans="2:13" ht="13.5" customHeight="1" x14ac:dyDescent="0.25">
      <c r="B29" s="37" t="s">
        <v>14</v>
      </c>
      <c r="C29" s="38"/>
      <c r="D29" s="101" t="s">
        <v>15</v>
      </c>
      <c r="E29" s="102"/>
      <c r="F29" s="103"/>
      <c r="G29" s="110"/>
      <c r="H29" s="111"/>
      <c r="I29" s="112"/>
    </row>
    <row r="30" spans="2:13" x14ac:dyDescent="0.25">
      <c r="B30" s="21"/>
    </row>
    <row r="31" spans="2:13" ht="23.25" x14ac:dyDescent="0.35">
      <c r="B31" s="21"/>
      <c r="G31" s="23"/>
      <c r="I31" s="33"/>
      <c r="J31" s="33"/>
      <c r="K31" s="33"/>
    </row>
  </sheetData>
  <mergeCells count="6">
    <mergeCell ref="B1:I1"/>
    <mergeCell ref="B3:I3"/>
    <mergeCell ref="G26:I26"/>
    <mergeCell ref="G27:I29"/>
    <mergeCell ref="D29:F29"/>
    <mergeCell ref="C8:D8"/>
  </mergeCells>
  <dataValidations count="1">
    <dataValidation type="whole" allowBlank="1" showInputMessage="1" showErrorMessage="1" sqref="C21" xr:uid="{4ABE44C7-AEAA-463A-AB56-4B48423F04CA}">
      <formula1>0</formula1>
      <formula2>20</formula2>
    </dataValidation>
  </dataValidations>
  <printOptions horizontalCentered="1" verticalCentered="1"/>
  <pageMargins left="0.70866141732283472" right="0.70866141732283472" top="0.39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defaultSize="0" autoFill="0" autoPict="0">
                <anchor moveWithCells="1">
                  <from>
                    <xdr:col>0</xdr:col>
                    <xdr:colOff>676275</xdr:colOff>
                    <xdr:row>4</xdr:row>
                    <xdr:rowOff>66675</xdr:rowOff>
                  </from>
                  <to>
                    <xdr:col>8</xdr:col>
                    <xdr:colOff>95250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Group Box 2">
              <controlPr defaultSize="0" autoFill="0" autoPict="0">
                <anchor moveWithCells="1">
                  <from>
                    <xdr:col>0</xdr:col>
                    <xdr:colOff>676275</xdr:colOff>
                    <xdr:row>15</xdr:row>
                    <xdr:rowOff>123825</xdr:rowOff>
                  </from>
                  <to>
                    <xdr:col>4</xdr:col>
                    <xdr:colOff>209550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Group Box 3">
              <controlPr defaultSize="0" autoFill="0" autoPict="0">
                <anchor moveWithCells="1">
                  <from>
                    <xdr:col>4</xdr:col>
                    <xdr:colOff>409575</xdr:colOff>
                    <xdr:row>15</xdr:row>
                    <xdr:rowOff>123825</xdr:rowOff>
                  </from>
                  <to>
                    <xdr:col>8</xdr:col>
                    <xdr:colOff>152400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RestablecerConsulta">
                <anchor moveWithCells="1" sizeWithCells="1">
                  <from>
                    <xdr:col>1</xdr:col>
                    <xdr:colOff>66675</xdr:colOff>
                    <xdr:row>30</xdr:row>
                    <xdr:rowOff>104775</xdr:rowOff>
                  </from>
                  <to>
                    <xdr:col>2</xdr:col>
                    <xdr:colOff>504825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VistaPreliminar">
                <anchor moveWithCells="1" sizeWithCells="1">
                  <from>
                    <xdr:col>3</xdr:col>
                    <xdr:colOff>333375</xdr:colOff>
                    <xdr:row>30</xdr:row>
                    <xdr:rowOff>142875</xdr:rowOff>
                  </from>
                  <to>
                    <xdr:col>5</xdr:col>
                    <xdr:colOff>314325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0">
              <controlPr defaultSize="0" print="0" autoFill="0" autoPict="0" macro="[0]!PRINCIPAL">
                <anchor moveWithCells="1" sizeWithCells="1">
                  <from>
                    <xdr:col>6</xdr:col>
                    <xdr:colOff>57150</xdr:colOff>
                    <xdr:row>30</xdr:row>
                    <xdr:rowOff>123825</xdr:rowOff>
                  </from>
                  <to>
                    <xdr:col>8</xdr:col>
                    <xdr:colOff>114300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 macro="[0]!VerFoto">
                <anchor moveWithCells="1">
                  <from>
                    <xdr:col>2</xdr:col>
                    <xdr:colOff>9525</xdr:colOff>
                    <xdr:row>5</xdr:row>
                    <xdr:rowOff>0</xdr:rowOff>
                  </from>
                  <to>
                    <xdr:col>2</xdr:col>
                    <xdr:colOff>952500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F551D-28CF-4713-813E-4A3A7127A87C}">
  <sheetPr codeName="Hoja4">
    <tabColor theme="0" tint="-4.9989318521683403E-2"/>
  </sheetPr>
  <dimension ref="A1:I100"/>
  <sheetViews>
    <sheetView showGridLines="0" topLeftCell="A25" zoomScale="120" zoomScaleNormal="120" workbookViewId="0">
      <selection activeCell="J8" sqref="J8"/>
    </sheetView>
  </sheetViews>
  <sheetFormatPr baseColWidth="10" defaultColWidth="11.42578125" defaultRowHeight="12.75" x14ac:dyDescent="0.2"/>
  <cols>
    <col min="1" max="1" width="10.5703125" style="50" bestFit="1" customWidth="1"/>
    <col min="2" max="2" width="12.7109375" style="50" customWidth="1"/>
    <col min="3" max="3" width="12" style="50" customWidth="1"/>
    <col min="4" max="4" width="12.28515625" style="50" customWidth="1"/>
    <col min="5" max="5" width="12.140625" style="50" customWidth="1"/>
    <col min="6" max="6" width="10.7109375" style="50" customWidth="1"/>
    <col min="7" max="7" width="11.28515625" style="50" customWidth="1"/>
    <col min="8" max="8" width="19" style="50" customWidth="1"/>
    <col min="9" max="9" width="13" style="50" customWidth="1"/>
    <col min="10" max="16384" width="11.42578125" style="50"/>
  </cols>
  <sheetData>
    <row r="1" spans="1:9" ht="15.75" x14ac:dyDescent="0.25">
      <c r="B1" s="114" t="s">
        <v>89</v>
      </c>
      <c r="C1" s="114"/>
      <c r="D1" s="114"/>
      <c r="E1" s="114"/>
    </row>
    <row r="3" spans="1:9" x14ac:dyDescent="0.2">
      <c r="B3" s="51" t="s">
        <v>90</v>
      </c>
      <c r="C3" s="51" t="s">
        <v>91</v>
      </c>
      <c r="D3" s="51" t="s">
        <v>92</v>
      </c>
      <c r="E3" s="52" t="s">
        <v>93</v>
      </c>
    </row>
    <row r="4" spans="1:9" x14ac:dyDescent="0.2">
      <c r="B4" s="53" t="s">
        <v>94</v>
      </c>
      <c r="C4" s="54">
        <v>410</v>
      </c>
      <c r="D4" s="54">
        <v>340</v>
      </c>
      <c r="E4" s="55">
        <v>720</v>
      </c>
    </row>
    <row r="5" spans="1:9" x14ac:dyDescent="0.2">
      <c r="B5" s="56" t="s">
        <v>95</v>
      </c>
      <c r="C5" s="54">
        <v>550</v>
      </c>
      <c r="D5" s="54">
        <v>730</v>
      </c>
      <c r="E5" s="55">
        <v>970</v>
      </c>
    </row>
    <row r="6" spans="1:9" x14ac:dyDescent="0.2">
      <c r="B6" s="57" t="s">
        <v>96</v>
      </c>
      <c r="C6" s="58">
        <v>980</v>
      </c>
      <c r="D6" s="58">
        <v>1410</v>
      </c>
      <c r="E6" s="59">
        <v>1160</v>
      </c>
    </row>
    <row r="8" spans="1:9" ht="15.75" x14ac:dyDescent="0.25">
      <c r="A8" s="114" t="s">
        <v>124</v>
      </c>
      <c r="B8" s="114"/>
      <c r="C8" s="114"/>
      <c r="D8" s="114"/>
      <c r="E8" s="114"/>
      <c r="F8" s="114"/>
      <c r="G8" s="114"/>
      <c r="H8" s="114"/>
      <c r="I8" s="114"/>
    </row>
    <row r="10" spans="1:9" s="78" customFormat="1" x14ac:dyDescent="0.2">
      <c r="A10" s="77" t="s">
        <v>123</v>
      </c>
      <c r="B10" s="77" t="s">
        <v>97</v>
      </c>
      <c r="C10" s="77" t="s">
        <v>98</v>
      </c>
      <c r="D10" s="77" t="s">
        <v>99</v>
      </c>
      <c r="E10" s="77" t="s">
        <v>90</v>
      </c>
      <c r="F10" s="77" t="s">
        <v>100</v>
      </c>
      <c r="G10" s="77" t="s">
        <v>101</v>
      </c>
      <c r="H10" s="77" t="s">
        <v>102</v>
      </c>
      <c r="I10" s="77" t="s">
        <v>103</v>
      </c>
    </row>
    <row r="11" spans="1:9" ht="15" x14ac:dyDescent="0.25">
      <c r="A11" s="79">
        <v>44562</v>
      </c>
      <c r="B11" s="60" t="s">
        <v>104</v>
      </c>
      <c r="C11" s="60" t="s">
        <v>105</v>
      </c>
      <c r="D11" s="60" t="s">
        <v>106</v>
      </c>
      <c r="E11" s="60" t="s">
        <v>96</v>
      </c>
      <c r="F11" s="60" t="s">
        <v>91</v>
      </c>
      <c r="G11" s="61">
        <v>78</v>
      </c>
      <c r="H11" s="62">
        <f t="shared" ref="H11:H42" si="0">INDEX(PRECIOS,MATCH(E11,$B$3:$B$6,0),MATCH(F11,$B$3:$E$3,0))</f>
        <v>980</v>
      </c>
      <c r="I11" s="63">
        <f>G11*H11</f>
        <v>76440</v>
      </c>
    </row>
    <row r="12" spans="1:9" ht="15" x14ac:dyDescent="0.25">
      <c r="A12" s="80">
        <v>44563</v>
      </c>
      <c r="B12" s="50" t="s">
        <v>107</v>
      </c>
      <c r="C12" s="50" t="s">
        <v>108</v>
      </c>
      <c r="D12" s="50" t="s">
        <v>106</v>
      </c>
      <c r="E12" s="50" t="s">
        <v>95</v>
      </c>
      <c r="F12" s="50" t="s">
        <v>92</v>
      </c>
      <c r="G12" s="64">
        <v>93</v>
      </c>
      <c r="H12" s="65">
        <f t="shared" si="0"/>
        <v>730</v>
      </c>
      <c r="I12" s="66">
        <f t="shared" ref="I12:I75" si="1">G12*H12</f>
        <v>67890</v>
      </c>
    </row>
    <row r="13" spans="1:9" ht="15" x14ac:dyDescent="0.25">
      <c r="A13" s="80">
        <v>44575</v>
      </c>
      <c r="B13" s="50" t="s">
        <v>109</v>
      </c>
      <c r="C13" s="50" t="s">
        <v>108</v>
      </c>
      <c r="D13" s="50" t="s">
        <v>110</v>
      </c>
      <c r="E13" s="50" t="s">
        <v>95</v>
      </c>
      <c r="F13" s="50" t="s">
        <v>92</v>
      </c>
      <c r="G13" s="64">
        <v>78</v>
      </c>
      <c r="H13" s="65">
        <f t="shared" si="0"/>
        <v>730</v>
      </c>
      <c r="I13" s="66">
        <f t="shared" si="1"/>
        <v>56940</v>
      </c>
    </row>
    <row r="14" spans="1:9" ht="15" x14ac:dyDescent="0.25">
      <c r="A14" s="80">
        <v>44564</v>
      </c>
      <c r="B14" s="50" t="s">
        <v>107</v>
      </c>
      <c r="C14" s="50" t="s">
        <v>105</v>
      </c>
      <c r="D14" s="50" t="s">
        <v>111</v>
      </c>
      <c r="E14" s="50" t="s">
        <v>95</v>
      </c>
      <c r="F14" s="50" t="s">
        <v>91</v>
      </c>
      <c r="G14" s="64">
        <v>86</v>
      </c>
      <c r="H14" s="65">
        <f t="shared" si="0"/>
        <v>550</v>
      </c>
      <c r="I14" s="66">
        <f t="shared" si="1"/>
        <v>47300</v>
      </c>
    </row>
    <row r="15" spans="1:9" ht="15" x14ac:dyDescent="0.25">
      <c r="A15" s="80">
        <v>44565</v>
      </c>
      <c r="B15" s="50" t="s">
        <v>109</v>
      </c>
      <c r="C15" s="50" t="s">
        <v>108</v>
      </c>
      <c r="D15" s="50" t="s">
        <v>106</v>
      </c>
      <c r="E15" s="50" t="s">
        <v>95</v>
      </c>
      <c r="F15" s="50" t="s">
        <v>91</v>
      </c>
      <c r="G15" s="64">
        <v>122</v>
      </c>
      <c r="H15" s="65">
        <f t="shared" si="0"/>
        <v>550</v>
      </c>
      <c r="I15" s="66">
        <f t="shared" si="1"/>
        <v>67100</v>
      </c>
    </row>
    <row r="16" spans="1:9" ht="15" x14ac:dyDescent="0.25">
      <c r="A16" s="80">
        <v>44574</v>
      </c>
      <c r="B16" s="50" t="s">
        <v>104</v>
      </c>
      <c r="C16" s="50" t="s">
        <v>105</v>
      </c>
      <c r="D16" s="50" t="s">
        <v>106</v>
      </c>
      <c r="E16" s="50" t="s">
        <v>94</v>
      </c>
      <c r="F16" s="50" t="s">
        <v>91</v>
      </c>
      <c r="G16" s="64">
        <v>184</v>
      </c>
      <c r="H16" s="65">
        <f t="shared" si="0"/>
        <v>410</v>
      </c>
      <c r="I16" s="66">
        <f t="shared" si="1"/>
        <v>75440</v>
      </c>
    </row>
    <row r="17" spans="1:9" ht="15" x14ac:dyDescent="0.25">
      <c r="A17" s="80">
        <v>44568</v>
      </c>
      <c r="B17" s="50" t="s">
        <v>104</v>
      </c>
      <c r="C17" s="50" t="s">
        <v>105</v>
      </c>
      <c r="D17" s="50" t="s">
        <v>111</v>
      </c>
      <c r="E17" s="50" t="s">
        <v>95</v>
      </c>
      <c r="F17" s="50" t="s">
        <v>93</v>
      </c>
      <c r="G17" s="64">
        <v>95</v>
      </c>
      <c r="H17" s="65">
        <f t="shared" si="0"/>
        <v>970</v>
      </c>
      <c r="I17" s="66">
        <f t="shared" si="1"/>
        <v>92150</v>
      </c>
    </row>
    <row r="18" spans="1:9" ht="15" x14ac:dyDescent="0.25">
      <c r="A18" s="80">
        <v>44569</v>
      </c>
      <c r="B18" s="50" t="s">
        <v>107</v>
      </c>
      <c r="C18" s="50" t="s">
        <v>112</v>
      </c>
      <c r="D18" s="50" t="s">
        <v>111</v>
      </c>
      <c r="E18" s="50" t="s">
        <v>95</v>
      </c>
      <c r="F18" s="50" t="s">
        <v>92</v>
      </c>
      <c r="G18" s="64">
        <v>107</v>
      </c>
      <c r="H18" s="65">
        <f t="shared" si="0"/>
        <v>730</v>
      </c>
      <c r="I18" s="66">
        <f t="shared" si="1"/>
        <v>78110</v>
      </c>
    </row>
    <row r="19" spans="1:9" ht="15" x14ac:dyDescent="0.25">
      <c r="A19" s="80">
        <v>44574</v>
      </c>
      <c r="B19" s="50" t="s">
        <v>109</v>
      </c>
      <c r="C19" s="50" t="s">
        <v>108</v>
      </c>
      <c r="D19" s="50" t="s">
        <v>106</v>
      </c>
      <c r="E19" s="50" t="s">
        <v>94</v>
      </c>
      <c r="F19" s="50" t="s">
        <v>91</v>
      </c>
      <c r="G19" s="64">
        <v>107</v>
      </c>
      <c r="H19" s="65">
        <f t="shared" si="0"/>
        <v>410</v>
      </c>
      <c r="I19" s="66">
        <f t="shared" si="1"/>
        <v>43870</v>
      </c>
    </row>
    <row r="20" spans="1:9" ht="15" x14ac:dyDescent="0.25">
      <c r="A20" s="80">
        <v>44565</v>
      </c>
      <c r="B20" s="50" t="s">
        <v>104</v>
      </c>
      <c r="C20" s="50" t="s">
        <v>112</v>
      </c>
      <c r="D20" s="50" t="s">
        <v>111</v>
      </c>
      <c r="E20" s="50" t="s">
        <v>94</v>
      </c>
      <c r="F20" s="50" t="s">
        <v>92</v>
      </c>
      <c r="G20" s="64">
        <v>128</v>
      </c>
      <c r="H20" s="65">
        <f t="shared" si="0"/>
        <v>340</v>
      </c>
      <c r="I20" s="66">
        <f t="shared" si="1"/>
        <v>43520</v>
      </c>
    </row>
    <row r="21" spans="1:9" ht="15" x14ac:dyDescent="0.25">
      <c r="A21" s="80">
        <v>44567</v>
      </c>
      <c r="B21" s="50" t="s">
        <v>104</v>
      </c>
      <c r="C21" s="50" t="s">
        <v>113</v>
      </c>
      <c r="D21" s="50" t="s">
        <v>106</v>
      </c>
      <c r="E21" s="50" t="s">
        <v>94</v>
      </c>
      <c r="F21" s="50" t="s">
        <v>92</v>
      </c>
      <c r="G21" s="64">
        <v>122</v>
      </c>
      <c r="H21" s="65">
        <f t="shared" si="0"/>
        <v>340</v>
      </c>
      <c r="I21" s="66">
        <f t="shared" si="1"/>
        <v>41480</v>
      </c>
    </row>
    <row r="22" spans="1:9" ht="15" x14ac:dyDescent="0.25">
      <c r="A22" s="80">
        <v>44575</v>
      </c>
      <c r="B22" s="50" t="s">
        <v>107</v>
      </c>
      <c r="C22" s="50" t="s">
        <v>105</v>
      </c>
      <c r="D22" s="50" t="s">
        <v>110</v>
      </c>
      <c r="E22" s="50" t="s">
        <v>96</v>
      </c>
      <c r="F22" s="50" t="s">
        <v>91</v>
      </c>
      <c r="G22" s="64">
        <v>86</v>
      </c>
      <c r="H22" s="65">
        <f t="shared" si="0"/>
        <v>980</v>
      </c>
      <c r="I22" s="66">
        <f t="shared" si="1"/>
        <v>84280</v>
      </c>
    </row>
    <row r="23" spans="1:9" ht="15" x14ac:dyDescent="0.25">
      <c r="A23" s="80">
        <v>44562</v>
      </c>
      <c r="B23" s="50" t="s">
        <v>107</v>
      </c>
      <c r="C23" s="50" t="s">
        <v>112</v>
      </c>
      <c r="D23" s="50" t="s">
        <v>111</v>
      </c>
      <c r="E23" s="50" t="s">
        <v>94</v>
      </c>
      <c r="F23" s="50" t="s">
        <v>92</v>
      </c>
      <c r="G23" s="64">
        <v>157</v>
      </c>
      <c r="H23" s="65">
        <f t="shared" si="0"/>
        <v>340</v>
      </c>
      <c r="I23" s="66">
        <f t="shared" si="1"/>
        <v>53380</v>
      </c>
    </row>
    <row r="24" spans="1:9" ht="15" x14ac:dyDescent="0.25">
      <c r="A24" s="80">
        <v>44576</v>
      </c>
      <c r="B24" s="50" t="s">
        <v>107</v>
      </c>
      <c r="C24" s="50" t="s">
        <v>112</v>
      </c>
      <c r="D24" s="50" t="s">
        <v>110</v>
      </c>
      <c r="E24" s="50" t="s">
        <v>94</v>
      </c>
      <c r="F24" s="50" t="s">
        <v>92</v>
      </c>
      <c r="G24" s="64">
        <v>189</v>
      </c>
      <c r="H24" s="65">
        <f t="shared" si="0"/>
        <v>340</v>
      </c>
      <c r="I24" s="66">
        <f t="shared" si="1"/>
        <v>64260</v>
      </c>
    </row>
    <row r="25" spans="1:9" ht="15" x14ac:dyDescent="0.25">
      <c r="A25" s="80">
        <v>44572</v>
      </c>
      <c r="B25" s="50" t="s">
        <v>104</v>
      </c>
      <c r="C25" s="50" t="s">
        <v>105</v>
      </c>
      <c r="D25" s="50" t="s">
        <v>106</v>
      </c>
      <c r="E25" s="50" t="s">
        <v>96</v>
      </c>
      <c r="F25" s="50" t="s">
        <v>93</v>
      </c>
      <c r="G25" s="64">
        <v>128</v>
      </c>
      <c r="H25" s="65">
        <f t="shared" si="0"/>
        <v>1160</v>
      </c>
      <c r="I25" s="66">
        <f t="shared" si="1"/>
        <v>148480</v>
      </c>
    </row>
    <row r="26" spans="1:9" ht="15" x14ac:dyDescent="0.25">
      <c r="A26" s="80">
        <v>44565</v>
      </c>
      <c r="B26" s="50" t="s">
        <v>107</v>
      </c>
      <c r="C26" s="50" t="s">
        <v>113</v>
      </c>
      <c r="D26" s="50" t="s">
        <v>106</v>
      </c>
      <c r="E26" s="50" t="s">
        <v>94</v>
      </c>
      <c r="F26" s="50" t="s">
        <v>93</v>
      </c>
      <c r="G26" s="64">
        <v>137</v>
      </c>
      <c r="H26" s="65">
        <f t="shared" si="0"/>
        <v>720</v>
      </c>
      <c r="I26" s="66">
        <f t="shared" si="1"/>
        <v>98640</v>
      </c>
    </row>
    <row r="27" spans="1:9" ht="15" x14ac:dyDescent="0.25">
      <c r="A27" s="80">
        <v>44574</v>
      </c>
      <c r="B27" s="50" t="s">
        <v>104</v>
      </c>
      <c r="C27" s="50" t="s">
        <v>108</v>
      </c>
      <c r="D27" s="50" t="s">
        <v>111</v>
      </c>
      <c r="E27" s="50" t="s">
        <v>96</v>
      </c>
      <c r="F27" s="50" t="s">
        <v>92</v>
      </c>
      <c r="G27" s="64">
        <v>173</v>
      </c>
      <c r="H27" s="65">
        <f t="shared" si="0"/>
        <v>1410</v>
      </c>
      <c r="I27" s="66">
        <f t="shared" si="1"/>
        <v>243930</v>
      </c>
    </row>
    <row r="28" spans="1:9" ht="15" x14ac:dyDescent="0.25">
      <c r="A28" s="80">
        <v>44564</v>
      </c>
      <c r="B28" s="50" t="s">
        <v>107</v>
      </c>
      <c r="C28" s="50" t="s">
        <v>108</v>
      </c>
      <c r="D28" s="50" t="s">
        <v>106</v>
      </c>
      <c r="E28" s="50" t="s">
        <v>94</v>
      </c>
      <c r="F28" s="50" t="s">
        <v>92</v>
      </c>
      <c r="G28" s="64">
        <v>60</v>
      </c>
      <c r="H28" s="65">
        <f t="shared" si="0"/>
        <v>340</v>
      </c>
      <c r="I28" s="66">
        <f t="shared" si="1"/>
        <v>20400</v>
      </c>
    </row>
    <row r="29" spans="1:9" ht="15" x14ac:dyDescent="0.25">
      <c r="A29" s="80">
        <v>44575</v>
      </c>
      <c r="B29" s="50" t="s">
        <v>107</v>
      </c>
      <c r="C29" s="50" t="s">
        <v>105</v>
      </c>
      <c r="D29" s="50" t="s">
        <v>110</v>
      </c>
      <c r="E29" s="50" t="s">
        <v>94</v>
      </c>
      <c r="F29" s="50" t="s">
        <v>93</v>
      </c>
      <c r="G29" s="64">
        <v>149</v>
      </c>
      <c r="H29" s="65">
        <f t="shared" si="0"/>
        <v>720</v>
      </c>
      <c r="I29" s="66">
        <f t="shared" si="1"/>
        <v>107280</v>
      </c>
    </row>
    <row r="30" spans="1:9" ht="15" x14ac:dyDescent="0.25">
      <c r="A30" s="80">
        <v>44566</v>
      </c>
      <c r="B30" s="50" t="s">
        <v>107</v>
      </c>
      <c r="C30" s="50" t="s">
        <v>108</v>
      </c>
      <c r="D30" s="50" t="s">
        <v>111</v>
      </c>
      <c r="E30" s="50" t="s">
        <v>94</v>
      </c>
      <c r="F30" s="50" t="s">
        <v>91</v>
      </c>
      <c r="G30" s="64">
        <v>47</v>
      </c>
      <c r="H30" s="65">
        <f t="shared" si="0"/>
        <v>410</v>
      </c>
      <c r="I30" s="66">
        <f t="shared" si="1"/>
        <v>19270</v>
      </c>
    </row>
    <row r="31" spans="1:9" ht="15" x14ac:dyDescent="0.25">
      <c r="A31" s="80">
        <v>44569</v>
      </c>
      <c r="B31" s="50" t="s">
        <v>107</v>
      </c>
      <c r="C31" s="50" t="s">
        <v>113</v>
      </c>
      <c r="D31" s="50" t="s">
        <v>110</v>
      </c>
      <c r="E31" s="50" t="s">
        <v>96</v>
      </c>
      <c r="F31" s="50" t="s">
        <v>93</v>
      </c>
      <c r="G31" s="64">
        <v>13</v>
      </c>
      <c r="H31" s="65">
        <f t="shared" si="0"/>
        <v>1160</v>
      </c>
      <c r="I31" s="66">
        <f t="shared" si="1"/>
        <v>15080</v>
      </c>
    </row>
    <row r="32" spans="1:9" ht="15" x14ac:dyDescent="0.25">
      <c r="A32" s="80">
        <v>44574</v>
      </c>
      <c r="B32" s="50" t="s">
        <v>107</v>
      </c>
      <c r="C32" s="50" t="s">
        <v>108</v>
      </c>
      <c r="D32" s="50" t="s">
        <v>106</v>
      </c>
      <c r="E32" s="50" t="s">
        <v>95</v>
      </c>
      <c r="F32" s="50" t="s">
        <v>91</v>
      </c>
      <c r="G32" s="64">
        <v>172</v>
      </c>
      <c r="H32" s="65">
        <f t="shared" si="0"/>
        <v>550</v>
      </c>
      <c r="I32" s="66">
        <f t="shared" si="1"/>
        <v>94600</v>
      </c>
    </row>
    <row r="33" spans="1:9" ht="15" x14ac:dyDescent="0.25">
      <c r="A33" s="80">
        <v>44570</v>
      </c>
      <c r="B33" s="50" t="s">
        <v>107</v>
      </c>
      <c r="C33" s="50" t="s">
        <v>105</v>
      </c>
      <c r="D33" s="50" t="s">
        <v>111</v>
      </c>
      <c r="E33" s="50" t="s">
        <v>96</v>
      </c>
      <c r="F33" s="50" t="s">
        <v>93</v>
      </c>
      <c r="G33" s="64">
        <v>75</v>
      </c>
      <c r="H33" s="65">
        <f t="shared" si="0"/>
        <v>1160</v>
      </c>
      <c r="I33" s="66">
        <f t="shared" si="1"/>
        <v>87000</v>
      </c>
    </row>
    <row r="34" spans="1:9" ht="15" x14ac:dyDescent="0.25">
      <c r="A34" s="80">
        <v>44569</v>
      </c>
      <c r="B34" s="50" t="s">
        <v>107</v>
      </c>
      <c r="C34" s="50" t="s">
        <v>112</v>
      </c>
      <c r="D34" s="50" t="s">
        <v>111</v>
      </c>
      <c r="E34" s="50" t="s">
        <v>96</v>
      </c>
      <c r="F34" s="50" t="s">
        <v>93</v>
      </c>
      <c r="G34" s="64">
        <v>26</v>
      </c>
      <c r="H34" s="65">
        <f t="shared" si="0"/>
        <v>1160</v>
      </c>
      <c r="I34" s="66">
        <f t="shared" si="1"/>
        <v>30160</v>
      </c>
    </row>
    <row r="35" spans="1:9" ht="15" x14ac:dyDescent="0.25">
      <c r="A35" s="80">
        <v>44571</v>
      </c>
      <c r="B35" s="50" t="s">
        <v>107</v>
      </c>
      <c r="C35" s="50" t="s">
        <v>113</v>
      </c>
      <c r="D35" s="50" t="s">
        <v>110</v>
      </c>
      <c r="E35" s="50" t="s">
        <v>95</v>
      </c>
      <c r="F35" s="50" t="s">
        <v>92</v>
      </c>
      <c r="G35" s="64">
        <v>162</v>
      </c>
      <c r="H35" s="65">
        <f t="shared" si="0"/>
        <v>730</v>
      </c>
      <c r="I35" s="66">
        <f t="shared" si="1"/>
        <v>118260</v>
      </c>
    </row>
    <row r="36" spans="1:9" ht="15" x14ac:dyDescent="0.25">
      <c r="A36" s="80">
        <v>44564</v>
      </c>
      <c r="B36" s="50" t="s">
        <v>109</v>
      </c>
      <c r="C36" s="50" t="s">
        <v>113</v>
      </c>
      <c r="D36" s="50" t="s">
        <v>106</v>
      </c>
      <c r="E36" s="50" t="s">
        <v>94</v>
      </c>
      <c r="F36" s="50" t="s">
        <v>92</v>
      </c>
      <c r="G36" s="64">
        <v>144</v>
      </c>
      <c r="H36" s="65">
        <f t="shared" si="0"/>
        <v>340</v>
      </c>
      <c r="I36" s="66">
        <f t="shared" si="1"/>
        <v>48960</v>
      </c>
    </row>
    <row r="37" spans="1:9" ht="15" x14ac:dyDescent="0.25">
      <c r="A37" s="80">
        <v>44562</v>
      </c>
      <c r="B37" s="50" t="s">
        <v>109</v>
      </c>
      <c r="C37" s="50" t="s">
        <v>105</v>
      </c>
      <c r="D37" s="50" t="s">
        <v>106</v>
      </c>
      <c r="E37" s="50" t="s">
        <v>96</v>
      </c>
      <c r="F37" s="50" t="s">
        <v>91</v>
      </c>
      <c r="G37" s="64">
        <v>93</v>
      </c>
      <c r="H37" s="65">
        <f t="shared" si="0"/>
        <v>980</v>
      </c>
      <c r="I37" s="66">
        <f t="shared" si="1"/>
        <v>91140</v>
      </c>
    </row>
    <row r="38" spans="1:9" ht="15" x14ac:dyDescent="0.25">
      <c r="A38" s="80">
        <v>44575</v>
      </c>
      <c r="B38" s="50" t="s">
        <v>104</v>
      </c>
      <c r="C38" s="50" t="s">
        <v>112</v>
      </c>
      <c r="D38" s="50" t="s">
        <v>110</v>
      </c>
      <c r="E38" s="50" t="s">
        <v>94</v>
      </c>
      <c r="F38" s="50" t="s">
        <v>91</v>
      </c>
      <c r="G38" s="64">
        <v>129</v>
      </c>
      <c r="H38" s="65">
        <f t="shared" si="0"/>
        <v>410</v>
      </c>
      <c r="I38" s="66">
        <f t="shared" si="1"/>
        <v>52890</v>
      </c>
    </row>
    <row r="39" spans="1:9" ht="15" x14ac:dyDescent="0.25">
      <c r="A39" s="80">
        <v>44575</v>
      </c>
      <c r="B39" s="50" t="s">
        <v>104</v>
      </c>
      <c r="C39" s="50" t="s">
        <v>108</v>
      </c>
      <c r="D39" s="50" t="s">
        <v>110</v>
      </c>
      <c r="E39" s="50" t="s">
        <v>96</v>
      </c>
      <c r="F39" s="50" t="s">
        <v>92</v>
      </c>
      <c r="G39" s="64">
        <v>89</v>
      </c>
      <c r="H39" s="65">
        <f t="shared" si="0"/>
        <v>1410</v>
      </c>
      <c r="I39" s="66">
        <f t="shared" si="1"/>
        <v>125490</v>
      </c>
    </row>
    <row r="40" spans="1:9" ht="15" x14ac:dyDescent="0.25">
      <c r="A40" s="80">
        <v>44567</v>
      </c>
      <c r="B40" s="50" t="s">
        <v>109</v>
      </c>
      <c r="C40" s="50" t="s">
        <v>112</v>
      </c>
      <c r="D40" s="50" t="s">
        <v>106</v>
      </c>
      <c r="E40" s="50" t="s">
        <v>95</v>
      </c>
      <c r="F40" s="50" t="s">
        <v>92</v>
      </c>
      <c r="G40" s="64">
        <v>99</v>
      </c>
      <c r="H40" s="65">
        <f t="shared" si="0"/>
        <v>730</v>
      </c>
      <c r="I40" s="66">
        <f t="shared" si="1"/>
        <v>72270</v>
      </c>
    </row>
    <row r="41" spans="1:9" ht="15" x14ac:dyDescent="0.25">
      <c r="A41" s="80">
        <v>44571</v>
      </c>
      <c r="B41" s="50" t="s">
        <v>109</v>
      </c>
      <c r="C41" s="50" t="s">
        <v>113</v>
      </c>
      <c r="D41" s="50" t="s">
        <v>106</v>
      </c>
      <c r="E41" s="50" t="s">
        <v>95</v>
      </c>
      <c r="F41" s="50" t="s">
        <v>93</v>
      </c>
      <c r="G41" s="64">
        <v>186</v>
      </c>
      <c r="H41" s="65">
        <f t="shared" si="0"/>
        <v>970</v>
      </c>
      <c r="I41" s="66">
        <f t="shared" si="1"/>
        <v>180420</v>
      </c>
    </row>
    <row r="42" spans="1:9" ht="15" x14ac:dyDescent="0.25">
      <c r="A42" s="80">
        <v>44573</v>
      </c>
      <c r="B42" s="50" t="s">
        <v>104</v>
      </c>
      <c r="C42" s="50" t="s">
        <v>108</v>
      </c>
      <c r="D42" s="50" t="s">
        <v>110</v>
      </c>
      <c r="E42" s="50" t="s">
        <v>95</v>
      </c>
      <c r="F42" s="50" t="s">
        <v>91</v>
      </c>
      <c r="G42" s="64">
        <v>99</v>
      </c>
      <c r="H42" s="65">
        <f t="shared" si="0"/>
        <v>550</v>
      </c>
      <c r="I42" s="66">
        <f t="shared" si="1"/>
        <v>54450</v>
      </c>
    </row>
    <row r="43" spans="1:9" ht="15" x14ac:dyDescent="0.25">
      <c r="A43" s="80">
        <v>44564</v>
      </c>
      <c r="B43" s="50" t="s">
        <v>109</v>
      </c>
      <c r="C43" s="50" t="s">
        <v>108</v>
      </c>
      <c r="D43" s="50" t="s">
        <v>110</v>
      </c>
      <c r="E43" s="50" t="s">
        <v>96</v>
      </c>
      <c r="F43" s="50" t="s">
        <v>91</v>
      </c>
      <c r="G43" s="64">
        <v>135</v>
      </c>
      <c r="H43" s="65">
        <f t="shared" ref="H43:H74" si="2">INDEX(PRECIOS,MATCH(E43,$B$3:$B$6,0),MATCH(F43,$B$3:$E$3,0))</f>
        <v>980</v>
      </c>
      <c r="I43" s="66">
        <f t="shared" si="1"/>
        <v>132300</v>
      </c>
    </row>
    <row r="44" spans="1:9" ht="15" x14ac:dyDescent="0.25">
      <c r="A44" s="80">
        <v>44565</v>
      </c>
      <c r="B44" s="50" t="s">
        <v>104</v>
      </c>
      <c r="C44" s="50" t="s">
        <v>113</v>
      </c>
      <c r="D44" s="50" t="s">
        <v>106</v>
      </c>
      <c r="E44" s="50" t="s">
        <v>95</v>
      </c>
      <c r="F44" s="50" t="s">
        <v>93</v>
      </c>
      <c r="G44" s="64">
        <v>168</v>
      </c>
      <c r="H44" s="65">
        <f t="shared" si="2"/>
        <v>970</v>
      </c>
      <c r="I44" s="66">
        <f t="shared" si="1"/>
        <v>162960</v>
      </c>
    </row>
    <row r="45" spans="1:9" ht="15" x14ac:dyDescent="0.25">
      <c r="A45" s="80">
        <v>44563</v>
      </c>
      <c r="B45" s="50" t="s">
        <v>104</v>
      </c>
      <c r="C45" s="50" t="s">
        <v>113</v>
      </c>
      <c r="D45" s="50" t="s">
        <v>110</v>
      </c>
      <c r="E45" s="50" t="s">
        <v>95</v>
      </c>
      <c r="F45" s="50" t="s">
        <v>93</v>
      </c>
      <c r="G45" s="64">
        <v>30</v>
      </c>
      <c r="H45" s="65">
        <f t="shared" si="2"/>
        <v>970</v>
      </c>
      <c r="I45" s="66">
        <f t="shared" si="1"/>
        <v>29100</v>
      </c>
    </row>
    <row r="46" spans="1:9" ht="15" x14ac:dyDescent="0.25">
      <c r="A46" s="80">
        <v>44566</v>
      </c>
      <c r="B46" s="50" t="s">
        <v>104</v>
      </c>
      <c r="C46" s="50" t="s">
        <v>113</v>
      </c>
      <c r="D46" s="50" t="s">
        <v>110</v>
      </c>
      <c r="E46" s="50" t="s">
        <v>94</v>
      </c>
      <c r="F46" s="50" t="s">
        <v>92</v>
      </c>
      <c r="G46" s="64">
        <v>143</v>
      </c>
      <c r="H46" s="65">
        <f t="shared" si="2"/>
        <v>340</v>
      </c>
      <c r="I46" s="66">
        <f t="shared" si="1"/>
        <v>48620</v>
      </c>
    </row>
    <row r="47" spans="1:9" ht="15" x14ac:dyDescent="0.25">
      <c r="A47" s="80">
        <v>44567</v>
      </c>
      <c r="B47" s="50" t="s">
        <v>104</v>
      </c>
      <c r="C47" s="50" t="s">
        <v>105</v>
      </c>
      <c r="D47" s="50" t="s">
        <v>110</v>
      </c>
      <c r="E47" s="50" t="s">
        <v>94</v>
      </c>
      <c r="F47" s="50" t="s">
        <v>93</v>
      </c>
      <c r="G47" s="64">
        <v>172</v>
      </c>
      <c r="H47" s="65">
        <f t="shared" si="2"/>
        <v>720</v>
      </c>
      <c r="I47" s="66">
        <f t="shared" si="1"/>
        <v>123840</v>
      </c>
    </row>
    <row r="48" spans="1:9" ht="15" x14ac:dyDescent="0.25">
      <c r="A48" s="80">
        <v>44567</v>
      </c>
      <c r="B48" s="50" t="s">
        <v>104</v>
      </c>
      <c r="C48" s="50" t="s">
        <v>112</v>
      </c>
      <c r="D48" s="50" t="s">
        <v>111</v>
      </c>
      <c r="E48" s="50" t="s">
        <v>96</v>
      </c>
      <c r="F48" s="50" t="s">
        <v>91</v>
      </c>
      <c r="G48" s="64">
        <v>36</v>
      </c>
      <c r="H48" s="65">
        <f t="shared" si="2"/>
        <v>980</v>
      </c>
      <c r="I48" s="66">
        <f t="shared" si="1"/>
        <v>35280</v>
      </c>
    </row>
    <row r="49" spans="1:9" ht="15" x14ac:dyDescent="0.25">
      <c r="A49" s="80">
        <v>44565</v>
      </c>
      <c r="B49" s="50" t="s">
        <v>107</v>
      </c>
      <c r="C49" s="50" t="s">
        <v>112</v>
      </c>
      <c r="D49" s="50" t="s">
        <v>111</v>
      </c>
      <c r="E49" s="50" t="s">
        <v>94</v>
      </c>
      <c r="F49" s="50" t="s">
        <v>91</v>
      </c>
      <c r="G49" s="64">
        <v>123</v>
      </c>
      <c r="H49" s="65">
        <f t="shared" si="2"/>
        <v>410</v>
      </c>
      <c r="I49" s="66">
        <f t="shared" si="1"/>
        <v>50430</v>
      </c>
    </row>
    <row r="50" spans="1:9" ht="15" x14ac:dyDescent="0.25">
      <c r="A50" s="80">
        <v>44570</v>
      </c>
      <c r="B50" s="50" t="s">
        <v>109</v>
      </c>
      <c r="C50" s="50" t="s">
        <v>113</v>
      </c>
      <c r="D50" s="50" t="s">
        <v>106</v>
      </c>
      <c r="E50" s="50" t="s">
        <v>95</v>
      </c>
      <c r="F50" s="50" t="s">
        <v>93</v>
      </c>
      <c r="G50" s="64">
        <v>197</v>
      </c>
      <c r="H50" s="65">
        <f t="shared" si="2"/>
        <v>970</v>
      </c>
      <c r="I50" s="66">
        <f t="shared" si="1"/>
        <v>191090</v>
      </c>
    </row>
    <row r="51" spans="1:9" ht="15" x14ac:dyDescent="0.25">
      <c r="A51" s="80">
        <v>44572</v>
      </c>
      <c r="B51" s="50" t="s">
        <v>109</v>
      </c>
      <c r="C51" s="50" t="s">
        <v>105</v>
      </c>
      <c r="D51" s="50" t="s">
        <v>106</v>
      </c>
      <c r="E51" s="50" t="s">
        <v>94</v>
      </c>
      <c r="F51" s="50" t="s">
        <v>93</v>
      </c>
      <c r="G51" s="64">
        <v>82</v>
      </c>
      <c r="H51" s="65">
        <f t="shared" si="2"/>
        <v>720</v>
      </c>
      <c r="I51" s="66">
        <f t="shared" si="1"/>
        <v>59040</v>
      </c>
    </row>
    <row r="52" spans="1:9" ht="15" x14ac:dyDescent="0.25">
      <c r="A52" s="80">
        <v>44565</v>
      </c>
      <c r="B52" s="50" t="s">
        <v>109</v>
      </c>
      <c r="C52" s="50" t="s">
        <v>105</v>
      </c>
      <c r="D52" s="50" t="s">
        <v>110</v>
      </c>
      <c r="E52" s="50" t="s">
        <v>95</v>
      </c>
      <c r="F52" s="50" t="s">
        <v>91</v>
      </c>
      <c r="G52" s="64">
        <v>41</v>
      </c>
      <c r="H52" s="65">
        <f t="shared" si="2"/>
        <v>550</v>
      </c>
      <c r="I52" s="66">
        <f t="shared" si="1"/>
        <v>22550</v>
      </c>
    </row>
    <row r="53" spans="1:9" ht="15" x14ac:dyDescent="0.25">
      <c r="A53" s="80">
        <v>44576</v>
      </c>
      <c r="B53" s="50" t="s">
        <v>104</v>
      </c>
      <c r="C53" s="50" t="s">
        <v>113</v>
      </c>
      <c r="D53" s="50" t="s">
        <v>106</v>
      </c>
      <c r="E53" s="50" t="s">
        <v>96</v>
      </c>
      <c r="F53" s="50" t="s">
        <v>93</v>
      </c>
      <c r="G53" s="64">
        <v>66</v>
      </c>
      <c r="H53" s="65">
        <f t="shared" si="2"/>
        <v>1160</v>
      </c>
      <c r="I53" s="66">
        <f t="shared" si="1"/>
        <v>76560</v>
      </c>
    </row>
    <row r="54" spans="1:9" ht="15" x14ac:dyDescent="0.25">
      <c r="A54" s="80">
        <v>44571</v>
      </c>
      <c r="B54" s="50" t="s">
        <v>104</v>
      </c>
      <c r="C54" s="50" t="s">
        <v>108</v>
      </c>
      <c r="D54" s="50" t="s">
        <v>111</v>
      </c>
      <c r="E54" s="50" t="s">
        <v>94</v>
      </c>
      <c r="F54" s="50" t="s">
        <v>92</v>
      </c>
      <c r="G54" s="64">
        <v>15</v>
      </c>
      <c r="H54" s="65">
        <f t="shared" si="2"/>
        <v>340</v>
      </c>
      <c r="I54" s="66">
        <f t="shared" si="1"/>
        <v>5100</v>
      </c>
    </row>
    <row r="55" spans="1:9" ht="15" x14ac:dyDescent="0.25">
      <c r="A55" s="80">
        <v>44568</v>
      </c>
      <c r="B55" s="50" t="s">
        <v>107</v>
      </c>
      <c r="C55" s="50" t="s">
        <v>105</v>
      </c>
      <c r="D55" s="50" t="s">
        <v>106</v>
      </c>
      <c r="E55" s="50" t="s">
        <v>96</v>
      </c>
      <c r="F55" s="50" t="s">
        <v>93</v>
      </c>
      <c r="G55" s="64">
        <v>180</v>
      </c>
      <c r="H55" s="65">
        <f t="shared" si="2"/>
        <v>1160</v>
      </c>
      <c r="I55" s="66">
        <f t="shared" si="1"/>
        <v>208800</v>
      </c>
    </row>
    <row r="56" spans="1:9" ht="15" x14ac:dyDescent="0.25">
      <c r="A56" s="80">
        <v>44575</v>
      </c>
      <c r="B56" s="50" t="s">
        <v>107</v>
      </c>
      <c r="C56" s="50" t="s">
        <v>112</v>
      </c>
      <c r="D56" s="50" t="s">
        <v>111</v>
      </c>
      <c r="E56" s="50" t="s">
        <v>96</v>
      </c>
      <c r="F56" s="50" t="s">
        <v>92</v>
      </c>
      <c r="G56" s="64">
        <v>181</v>
      </c>
      <c r="H56" s="65">
        <f t="shared" si="2"/>
        <v>1410</v>
      </c>
      <c r="I56" s="66">
        <f t="shared" si="1"/>
        <v>255210</v>
      </c>
    </row>
    <row r="57" spans="1:9" ht="15" x14ac:dyDescent="0.25">
      <c r="A57" s="80">
        <v>44576</v>
      </c>
      <c r="B57" s="50" t="s">
        <v>107</v>
      </c>
      <c r="C57" s="50" t="s">
        <v>105</v>
      </c>
      <c r="D57" s="50" t="s">
        <v>106</v>
      </c>
      <c r="E57" s="50" t="s">
        <v>96</v>
      </c>
      <c r="F57" s="50" t="s">
        <v>91</v>
      </c>
      <c r="G57" s="64">
        <v>139</v>
      </c>
      <c r="H57" s="65">
        <f t="shared" si="2"/>
        <v>980</v>
      </c>
      <c r="I57" s="66">
        <f t="shared" si="1"/>
        <v>136220</v>
      </c>
    </row>
    <row r="58" spans="1:9" ht="15" x14ac:dyDescent="0.25">
      <c r="A58" s="80">
        <v>44566</v>
      </c>
      <c r="B58" s="50" t="s">
        <v>109</v>
      </c>
      <c r="C58" s="50" t="s">
        <v>105</v>
      </c>
      <c r="D58" s="50" t="s">
        <v>111</v>
      </c>
      <c r="E58" s="50" t="s">
        <v>95</v>
      </c>
      <c r="F58" s="50" t="s">
        <v>91</v>
      </c>
      <c r="G58" s="64">
        <v>133</v>
      </c>
      <c r="H58" s="65">
        <f t="shared" si="2"/>
        <v>550</v>
      </c>
      <c r="I58" s="66">
        <f t="shared" si="1"/>
        <v>73150</v>
      </c>
    </row>
    <row r="59" spans="1:9" ht="15" x14ac:dyDescent="0.25">
      <c r="A59" s="80">
        <v>44575</v>
      </c>
      <c r="B59" s="50" t="s">
        <v>104</v>
      </c>
      <c r="C59" s="50" t="s">
        <v>112</v>
      </c>
      <c r="D59" s="50" t="s">
        <v>110</v>
      </c>
      <c r="E59" s="50" t="s">
        <v>95</v>
      </c>
      <c r="F59" s="50" t="s">
        <v>93</v>
      </c>
      <c r="G59" s="64">
        <v>152</v>
      </c>
      <c r="H59" s="65">
        <f t="shared" si="2"/>
        <v>970</v>
      </c>
      <c r="I59" s="66">
        <f t="shared" si="1"/>
        <v>147440</v>
      </c>
    </row>
    <row r="60" spans="1:9" ht="15" x14ac:dyDescent="0.25">
      <c r="A60" s="80">
        <v>44570</v>
      </c>
      <c r="B60" s="50" t="s">
        <v>109</v>
      </c>
      <c r="C60" s="50" t="s">
        <v>105</v>
      </c>
      <c r="D60" s="50" t="s">
        <v>111</v>
      </c>
      <c r="E60" s="50" t="s">
        <v>95</v>
      </c>
      <c r="F60" s="50" t="s">
        <v>91</v>
      </c>
      <c r="G60" s="64">
        <v>93</v>
      </c>
      <c r="H60" s="65">
        <f t="shared" si="2"/>
        <v>550</v>
      </c>
      <c r="I60" s="66">
        <f t="shared" si="1"/>
        <v>51150</v>
      </c>
    </row>
    <row r="61" spans="1:9" ht="15" x14ac:dyDescent="0.25">
      <c r="A61" s="80">
        <v>44569</v>
      </c>
      <c r="B61" s="50" t="s">
        <v>107</v>
      </c>
      <c r="C61" s="50" t="s">
        <v>112</v>
      </c>
      <c r="D61" s="50" t="s">
        <v>111</v>
      </c>
      <c r="E61" s="50" t="s">
        <v>96</v>
      </c>
      <c r="F61" s="50" t="s">
        <v>93</v>
      </c>
      <c r="G61" s="64">
        <v>179</v>
      </c>
      <c r="H61" s="65">
        <f t="shared" si="2"/>
        <v>1160</v>
      </c>
      <c r="I61" s="66">
        <f t="shared" si="1"/>
        <v>207640</v>
      </c>
    </row>
    <row r="62" spans="1:9" ht="15" x14ac:dyDescent="0.25">
      <c r="A62" s="80">
        <v>44576</v>
      </c>
      <c r="B62" s="50" t="s">
        <v>104</v>
      </c>
      <c r="C62" s="50" t="s">
        <v>108</v>
      </c>
      <c r="D62" s="50" t="s">
        <v>111</v>
      </c>
      <c r="E62" s="50" t="s">
        <v>95</v>
      </c>
      <c r="F62" s="50" t="s">
        <v>92</v>
      </c>
      <c r="G62" s="64">
        <v>57</v>
      </c>
      <c r="H62" s="65">
        <f t="shared" si="2"/>
        <v>730</v>
      </c>
      <c r="I62" s="66">
        <f t="shared" si="1"/>
        <v>41610</v>
      </c>
    </row>
    <row r="63" spans="1:9" ht="15" x14ac:dyDescent="0.25">
      <c r="A63" s="80">
        <v>44568</v>
      </c>
      <c r="B63" s="50" t="s">
        <v>107</v>
      </c>
      <c r="C63" s="50" t="s">
        <v>113</v>
      </c>
      <c r="D63" s="50" t="s">
        <v>106</v>
      </c>
      <c r="E63" s="50" t="s">
        <v>95</v>
      </c>
      <c r="F63" s="50" t="s">
        <v>92</v>
      </c>
      <c r="G63" s="64">
        <v>70</v>
      </c>
      <c r="H63" s="65">
        <f t="shared" si="2"/>
        <v>730</v>
      </c>
      <c r="I63" s="66">
        <f t="shared" si="1"/>
        <v>51100</v>
      </c>
    </row>
    <row r="64" spans="1:9" ht="15" x14ac:dyDescent="0.25">
      <c r="A64" s="80">
        <v>44572</v>
      </c>
      <c r="B64" s="50" t="s">
        <v>104</v>
      </c>
      <c r="C64" s="50" t="s">
        <v>112</v>
      </c>
      <c r="D64" s="50" t="s">
        <v>106</v>
      </c>
      <c r="E64" s="50" t="s">
        <v>95</v>
      </c>
      <c r="F64" s="50" t="s">
        <v>93</v>
      </c>
      <c r="G64" s="64">
        <v>43</v>
      </c>
      <c r="H64" s="65">
        <f t="shared" si="2"/>
        <v>970</v>
      </c>
      <c r="I64" s="66">
        <f t="shared" si="1"/>
        <v>41710</v>
      </c>
    </row>
    <row r="65" spans="1:9" ht="15" x14ac:dyDescent="0.25">
      <c r="A65" s="80">
        <v>44564</v>
      </c>
      <c r="B65" s="50" t="s">
        <v>109</v>
      </c>
      <c r="C65" s="50" t="s">
        <v>112</v>
      </c>
      <c r="D65" s="50" t="s">
        <v>111</v>
      </c>
      <c r="E65" s="50" t="s">
        <v>94</v>
      </c>
      <c r="F65" s="50" t="s">
        <v>91</v>
      </c>
      <c r="G65" s="64">
        <v>164</v>
      </c>
      <c r="H65" s="65">
        <f t="shared" si="2"/>
        <v>410</v>
      </c>
      <c r="I65" s="66">
        <f t="shared" si="1"/>
        <v>67240</v>
      </c>
    </row>
    <row r="66" spans="1:9" ht="15" x14ac:dyDescent="0.25">
      <c r="A66" s="80">
        <v>44566</v>
      </c>
      <c r="B66" s="50" t="s">
        <v>109</v>
      </c>
      <c r="C66" s="50" t="s">
        <v>113</v>
      </c>
      <c r="D66" s="50" t="s">
        <v>106</v>
      </c>
      <c r="E66" s="50" t="s">
        <v>94</v>
      </c>
      <c r="F66" s="50" t="s">
        <v>93</v>
      </c>
      <c r="G66" s="64">
        <v>131</v>
      </c>
      <c r="H66" s="65">
        <f t="shared" si="2"/>
        <v>720</v>
      </c>
      <c r="I66" s="66">
        <f t="shared" si="1"/>
        <v>94320</v>
      </c>
    </row>
    <row r="67" spans="1:9" ht="15" x14ac:dyDescent="0.25">
      <c r="A67" s="80">
        <v>44576</v>
      </c>
      <c r="B67" s="50" t="s">
        <v>109</v>
      </c>
      <c r="C67" s="50" t="s">
        <v>113</v>
      </c>
      <c r="D67" s="50" t="s">
        <v>110</v>
      </c>
      <c r="E67" s="50" t="s">
        <v>96</v>
      </c>
      <c r="F67" s="50" t="s">
        <v>93</v>
      </c>
      <c r="G67" s="64">
        <v>102</v>
      </c>
      <c r="H67" s="65">
        <f t="shared" si="2"/>
        <v>1160</v>
      </c>
      <c r="I67" s="66">
        <f t="shared" si="1"/>
        <v>118320</v>
      </c>
    </row>
    <row r="68" spans="1:9" ht="15" x14ac:dyDescent="0.25">
      <c r="A68" s="80">
        <v>44574</v>
      </c>
      <c r="B68" s="50" t="s">
        <v>109</v>
      </c>
      <c r="C68" s="50" t="s">
        <v>113</v>
      </c>
      <c r="D68" s="50" t="s">
        <v>110</v>
      </c>
      <c r="E68" s="50" t="s">
        <v>94</v>
      </c>
      <c r="F68" s="50" t="s">
        <v>93</v>
      </c>
      <c r="G68" s="64">
        <v>127</v>
      </c>
      <c r="H68" s="65">
        <f t="shared" si="2"/>
        <v>720</v>
      </c>
      <c r="I68" s="66">
        <f t="shared" si="1"/>
        <v>91440</v>
      </c>
    </row>
    <row r="69" spans="1:9" ht="15" x14ac:dyDescent="0.25">
      <c r="A69" s="80">
        <v>44566</v>
      </c>
      <c r="B69" s="50" t="s">
        <v>107</v>
      </c>
      <c r="C69" s="50" t="s">
        <v>105</v>
      </c>
      <c r="D69" s="50" t="s">
        <v>111</v>
      </c>
      <c r="E69" s="50" t="s">
        <v>94</v>
      </c>
      <c r="F69" s="50" t="s">
        <v>91</v>
      </c>
      <c r="G69" s="64">
        <v>136</v>
      </c>
      <c r="H69" s="65">
        <f t="shared" si="2"/>
        <v>410</v>
      </c>
      <c r="I69" s="66">
        <f t="shared" si="1"/>
        <v>55760</v>
      </c>
    </row>
    <row r="70" spans="1:9" ht="15" x14ac:dyDescent="0.25">
      <c r="A70" s="80">
        <v>44562</v>
      </c>
      <c r="B70" s="50" t="s">
        <v>107</v>
      </c>
      <c r="C70" s="50" t="s">
        <v>112</v>
      </c>
      <c r="D70" s="50" t="s">
        <v>111</v>
      </c>
      <c r="E70" s="50" t="s">
        <v>94</v>
      </c>
      <c r="F70" s="50" t="s">
        <v>93</v>
      </c>
      <c r="G70" s="64">
        <v>157</v>
      </c>
      <c r="H70" s="65">
        <f t="shared" si="2"/>
        <v>720</v>
      </c>
      <c r="I70" s="66">
        <f t="shared" si="1"/>
        <v>113040</v>
      </c>
    </row>
    <row r="71" spans="1:9" ht="15" x14ac:dyDescent="0.25">
      <c r="A71" s="80">
        <v>44564</v>
      </c>
      <c r="B71" s="50" t="s">
        <v>107</v>
      </c>
      <c r="C71" s="50" t="s">
        <v>113</v>
      </c>
      <c r="D71" s="50" t="s">
        <v>110</v>
      </c>
      <c r="E71" s="50" t="s">
        <v>96</v>
      </c>
      <c r="F71" s="50" t="s">
        <v>93</v>
      </c>
      <c r="G71" s="64">
        <v>168</v>
      </c>
      <c r="H71" s="65">
        <f t="shared" si="2"/>
        <v>1160</v>
      </c>
      <c r="I71" s="66">
        <f t="shared" si="1"/>
        <v>194880</v>
      </c>
    </row>
    <row r="72" spans="1:9" ht="15" x14ac:dyDescent="0.25">
      <c r="A72" s="80">
        <v>44571</v>
      </c>
      <c r="B72" s="50" t="s">
        <v>109</v>
      </c>
      <c r="C72" s="50" t="s">
        <v>112</v>
      </c>
      <c r="D72" s="50" t="s">
        <v>110</v>
      </c>
      <c r="E72" s="50" t="s">
        <v>95</v>
      </c>
      <c r="F72" s="50" t="s">
        <v>91</v>
      </c>
      <c r="G72" s="64">
        <v>198</v>
      </c>
      <c r="H72" s="65">
        <f t="shared" si="2"/>
        <v>550</v>
      </c>
      <c r="I72" s="66">
        <f t="shared" si="1"/>
        <v>108900</v>
      </c>
    </row>
    <row r="73" spans="1:9" ht="15" x14ac:dyDescent="0.25">
      <c r="A73" s="80">
        <v>44566</v>
      </c>
      <c r="B73" s="50" t="s">
        <v>107</v>
      </c>
      <c r="C73" s="50" t="s">
        <v>108</v>
      </c>
      <c r="D73" s="50" t="s">
        <v>110</v>
      </c>
      <c r="E73" s="50" t="s">
        <v>94</v>
      </c>
      <c r="F73" s="50" t="s">
        <v>92</v>
      </c>
      <c r="G73" s="64">
        <v>197</v>
      </c>
      <c r="H73" s="65">
        <f t="shared" si="2"/>
        <v>340</v>
      </c>
      <c r="I73" s="66">
        <f t="shared" si="1"/>
        <v>66980</v>
      </c>
    </row>
    <row r="74" spans="1:9" ht="15" x14ac:dyDescent="0.25">
      <c r="A74" s="80">
        <v>44569</v>
      </c>
      <c r="B74" s="50" t="s">
        <v>104</v>
      </c>
      <c r="C74" s="50" t="s">
        <v>105</v>
      </c>
      <c r="D74" s="50" t="s">
        <v>106</v>
      </c>
      <c r="E74" s="50" t="s">
        <v>96</v>
      </c>
      <c r="F74" s="50" t="s">
        <v>91</v>
      </c>
      <c r="G74" s="64">
        <v>11</v>
      </c>
      <c r="H74" s="65">
        <f t="shared" si="2"/>
        <v>980</v>
      </c>
      <c r="I74" s="66">
        <f t="shared" si="1"/>
        <v>10780</v>
      </c>
    </row>
    <row r="75" spans="1:9" ht="15" x14ac:dyDescent="0.25">
      <c r="A75" s="80">
        <v>44568</v>
      </c>
      <c r="B75" s="50" t="s">
        <v>109</v>
      </c>
      <c r="C75" s="50" t="s">
        <v>112</v>
      </c>
      <c r="D75" s="50" t="s">
        <v>111</v>
      </c>
      <c r="E75" s="50" t="s">
        <v>96</v>
      </c>
      <c r="F75" s="50" t="s">
        <v>91</v>
      </c>
      <c r="G75" s="64">
        <v>160</v>
      </c>
      <c r="H75" s="65">
        <f t="shared" ref="H75:H100" si="3">INDEX(PRECIOS,MATCH(E75,$B$3:$B$6,0),MATCH(F75,$B$3:$E$3,0))</f>
        <v>980</v>
      </c>
      <c r="I75" s="66">
        <f t="shared" si="1"/>
        <v>156800</v>
      </c>
    </row>
    <row r="76" spans="1:9" ht="15" x14ac:dyDescent="0.25">
      <c r="A76" s="80">
        <v>44576</v>
      </c>
      <c r="B76" s="50" t="s">
        <v>109</v>
      </c>
      <c r="C76" s="50" t="s">
        <v>113</v>
      </c>
      <c r="D76" s="50" t="s">
        <v>106</v>
      </c>
      <c r="E76" s="50" t="s">
        <v>96</v>
      </c>
      <c r="F76" s="50" t="s">
        <v>93</v>
      </c>
      <c r="G76" s="64">
        <v>130</v>
      </c>
      <c r="H76" s="65">
        <f t="shared" si="3"/>
        <v>1160</v>
      </c>
      <c r="I76" s="66">
        <f t="shared" ref="I76:I100" si="4">G76*H76</f>
        <v>150800</v>
      </c>
    </row>
    <row r="77" spans="1:9" ht="15" x14ac:dyDescent="0.25">
      <c r="A77" s="80">
        <v>44571</v>
      </c>
      <c r="B77" s="50" t="s">
        <v>104</v>
      </c>
      <c r="C77" s="50" t="s">
        <v>105</v>
      </c>
      <c r="D77" s="50" t="s">
        <v>106</v>
      </c>
      <c r="E77" s="50" t="s">
        <v>94</v>
      </c>
      <c r="F77" s="50" t="s">
        <v>91</v>
      </c>
      <c r="G77" s="64">
        <v>133</v>
      </c>
      <c r="H77" s="65">
        <f t="shared" si="3"/>
        <v>410</v>
      </c>
      <c r="I77" s="66">
        <f t="shared" si="4"/>
        <v>54530</v>
      </c>
    </row>
    <row r="78" spans="1:9" ht="15" x14ac:dyDescent="0.25">
      <c r="A78" s="80">
        <v>44562</v>
      </c>
      <c r="B78" s="50" t="s">
        <v>104</v>
      </c>
      <c r="C78" s="50" t="s">
        <v>113</v>
      </c>
      <c r="D78" s="50" t="s">
        <v>106</v>
      </c>
      <c r="E78" s="50" t="s">
        <v>94</v>
      </c>
      <c r="F78" s="50" t="s">
        <v>92</v>
      </c>
      <c r="G78" s="64">
        <v>60</v>
      </c>
      <c r="H78" s="65">
        <f t="shared" si="3"/>
        <v>340</v>
      </c>
      <c r="I78" s="66">
        <f t="shared" si="4"/>
        <v>20400</v>
      </c>
    </row>
    <row r="79" spans="1:9" ht="15" x14ac:dyDescent="0.25">
      <c r="A79" s="80">
        <v>44574</v>
      </c>
      <c r="B79" s="50" t="s">
        <v>104</v>
      </c>
      <c r="C79" s="50" t="s">
        <v>108</v>
      </c>
      <c r="D79" s="50" t="s">
        <v>111</v>
      </c>
      <c r="E79" s="50" t="s">
        <v>95</v>
      </c>
      <c r="F79" s="50" t="s">
        <v>92</v>
      </c>
      <c r="G79" s="64">
        <v>62</v>
      </c>
      <c r="H79" s="65">
        <f t="shared" si="3"/>
        <v>730</v>
      </c>
      <c r="I79" s="66">
        <f t="shared" si="4"/>
        <v>45260</v>
      </c>
    </row>
    <row r="80" spans="1:9" ht="15" x14ac:dyDescent="0.25">
      <c r="A80" s="80">
        <v>44566</v>
      </c>
      <c r="B80" s="50" t="s">
        <v>109</v>
      </c>
      <c r="C80" s="50" t="s">
        <v>108</v>
      </c>
      <c r="D80" s="50" t="s">
        <v>106</v>
      </c>
      <c r="E80" s="50" t="s">
        <v>96</v>
      </c>
      <c r="F80" s="50" t="s">
        <v>92</v>
      </c>
      <c r="G80" s="64">
        <v>140</v>
      </c>
      <c r="H80" s="65">
        <f t="shared" si="3"/>
        <v>1410</v>
      </c>
      <c r="I80" s="66">
        <f t="shared" si="4"/>
        <v>197400</v>
      </c>
    </row>
    <row r="81" spans="1:9" ht="15" x14ac:dyDescent="0.25">
      <c r="A81" s="80">
        <v>44567</v>
      </c>
      <c r="B81" s="50" t="s">
        <v>109</v>
      </c>
      <c r="C81" s="50" t="s">
        <v>112</v>
      </c>
      <c r="D81" s="50" t="s">
        <v>110</v>
      </c>
      <c r="E81" s="50" t="s">
        <v>94</v>
      </c>
      <c r="F81" s="50" t="s">
        <v>93</v>
      </c>
      <c r="G81" s="64">
        <v>61</v>
      </c>
      <c r="H81" s="65">
        <f t="shared" si="3"/>
        <v>720</v>
      </c>
      <c r="I81" s="66">
        <f t="shared" si="4"/>
        <v>43920</v>
      </c>
    </row>
    <row r="82" spans="1:9" ht="15" x14ac:dyDescent="0.25">
      <c r="A82" s="80">
        <v>44573</v>
      </c>
      <c r="B82" s="50" t="s">
        <v>109</v>
      </c>
      <c r="C82" s="50" t="s">
        <v>105</v>
      </c>
      <c r="D82" s="50" t="s">
        <v>111</v>
      </c>
      <c r="E82" s="50" t="s">
        <v>94</v>
      </c>
      <c r="F82" s="50" t="s">
        <v>91</v>
      </c>
      <c r="G82" s="64">
        <v>19</v>
      </c>
      <c r="H82" s="65">
        <f t="shared" si="3"/>
        <v>410</v>
      </c>
      <c r="I82" s="66">
        <f t="shared" si="4"/>
        <v>7790</v>
      </c>
    </row>
    <row r="83" spans="1:9" ht="15" x14ac:dyDescent="0.25">
      <c r="A83" s="80">
        <v>44563</v>
      </c>
      <c r="B83" s="50" t="s">
        <v>109</v>
      </c>
      <c r="C83" s="50" t="s">
        <v>112</v>
      </c>
      <c r="D83" s="50" t="s">
        <v>110</v>
      </c>
      <c r="E83" s="50" t="s">
        <v>95</v>
      </c>
      <c r="F83" s="50" t="s">
        <v>92</v>
      </c>
      <c r="G83" s="64">
        <v>17</v>
      </c>
      <c r="H83" s="65">
        <f t="shared" si="3"/>
        <v>730</v>
      </c>
      <c r="I83" s="66">
        <f t="shared" si="4"/>
        <v>12410</v>
      </c>
    </row>
    <row r="84" spans="1:9" ht="15" x14ac:dyDescent="0.25">
      <c r="A84" s="80">
        <v>44563</v>
      </c>
      <c r="B84" s="50" t="s">
        <v>104</v>
      </c>
      <c r="C84" s="50" t="s">
        <v>113</v>
      </c>
      <c r="D84" s="50" t="s">
        <v>110</v>
      </c>
      <c r="E84" s="50" t="s">
        <v>95</v>
      </c>
      <c r="F84" s="50" t="s">
        <v>93</v>
      </c>
      <c r="G84" s="64">
        <v>159</v>
      </c>
      <c r="H84" s="65">
        <f t="shared" si="3"/>
        <v>970</v>
      </c>
      <c r="I84" s="66">
        <f t="shared" si="4"/>
        <v>154230</v>
      </c>
    </row>
    <row r="85" spans="1:9" ht="15" x14ac:dyDescent="0.25">
      <c r="A85" s="80">
        <v>44574</v>
      </c>
      <c r="B85" s="50" t="s">
        <v>107</v>
      </c>
      <c r="C85" s="50" t="s">
        <v>108</v>
      </c>
      <c r="D85" s="50" t="s">
        <v>111</v>
      </c>
      <c r="E85" s="50" t="s">
        <v>94</v>
      </c>
      <c r="F85" s="50" t="s">
        <v>91</v>
      </c>
      <c r="G85" s="64">
        <v>196</v>
      </c>
      <c r="H85" s="65">
        <f t="shared" si="3"/>
        <v>410</v>
      </c>
      <c r="I85" s="66">
        <f t="shared" si="4"/>
        <v>80360</v>
      </c>
    </row>
    <row r="86" spans="1:9" ht="15" x14ac:dyDescent="0.25">
      <c r="A86" s="80">
        <v>44562</v>
      </c>
      <c r="B86" s="50" t="s">
        <v>104</v>
      </c>
      <c r="C86" s="50" t="s">
        <v>112</v>
      </c>
      <c r="D86" s="50" t="s">
        <v>111</v>
      </c>
      <c r="E86" s="50" t="s">
        <v>96</v>
      </c>
      <c r="F86" s="50" t="s">
        <v>93</v>
      </c>
      <c r="G86" s="64">
        <v>120</v>
      </c>
      <c r="H86" s="65">
        <f t="shared" si="3"/>
        <v>1160</v>
      </c>
      <c r="I86" s="66">
        <f t="shared" si="4"/>
        <v>139200</v>
      </c>
    </row>
    <row r="87" spans="1:9" ht="15" x14ac:dyDescent="0.25">
      <c r="A87" s="80">
        <v>44569</v>
      </c>
      <c r="B87" s="50" t="s">
        <v>107</v>
      </c>
      <c r="C87" s="50" t="s">
        <v>113</v>
      </c>
      <c r="D87" s="50" t="s">
        <v>106</v>
      </c>
      <c r="E87" s="50" t="s">
        <v>95</v>
      </c>
      <c r="F87" s="50" t="s">
        <v>92</v>
      </c>
      <c r="G87" s="64">
        <v>62</v>
      </c>
      <c r="H87" s="65">
        <f t="shared" si="3"/>
        <v>730</v>
      </c>
      <c r="I87" s="66">
        <f t="shared" si="4"/>
        <v>45260</v>
      </c>
    </row>
    <row r="88" spans="1:9" ht="15" x14ac:dyDescent="0.25">
      <c r="A88" s="80">
        <v>44570</v>
      </c>
      <c r="B88" s="50" t="s">
        <v>104</v>
      </c>
      <c r="C88" s="50" t="s">
        <v>113</v>
      </c>
      <c r="D88" s="50" t="s">
        <v>106</v>
      </c>
      <c r="E88" s="50" t="s">
        <v>96</v>
      </c>
      <c r="F88" s="50" t="s">
        <v>93</v>
      </c>
      <c r="G88" s="64">
        <v>38</v>
      </c>
      <c r="H88" s="65">
        <f t="shared" si="3"/>
        <v>1160</v>
      </c>
      <c r="I88" s="66">
        <f t="shared" si="4"/>
        <v>44080</v>
      </c>
    </row>
    <row r="89" spans="1:9" ht="15" x14ac:dyDescent="0.25">
      <c r="A89" s="80">
        <v>44566</v>
      </c>
      <c r="B89" s="50" t="s">
        <v>104</v>
      </c>
      <c r="C89" s="50" t="s">
        <v>105</v>
      </c>
      <c r="D89" s="50" t="s">
        <v>111</v>
      </c>
      <c r="E89" s="50" t="s">
        <v>95</v>
      </c>
      <c r="F89" s="50" t="s">
        <v>91</v>
      </c>
      <c r="G89" s="64">
        <v>145</v>
      </c>
      <c r="H89" s="65">
        <f t="shared" si="3"/>
        <v>550</v>
      </c>
      <c r="I89" s="66">
        <f t="shared" si="4"/>
        <v>79750</v>
      </c>
    </row>
    <row r="90" spans="1:9" ht="15" x14ac:dyDescent="0.25">
      <c r="A90" s="80">
        <v>44571</v>
      </c>
      <c r="B90" s="50" t="s">
        <v>109</v>
      </c>
      <c r="C90" s="50" t="s">
        <v>105</v>
      </c>
      <c r="D90" s="50" t="s">
        <v>110</v>
      </c>
      <c r="E90" s="50" t="s">
        <v>94</v>
      </c>
      <c r="F90" s="50" t="s">
        <v>91</v>
      </c>
      <c r="G90" s="64">
        <v>147</v>
      </c>
      <c r="H90" s="65">
        <f t="shared" si="3"/>
        <v>410</v>
      </c>
      <c r="I90" s="66">
        <f t="shared" si="4"/>
        <v>60270</v>
      </c>
    </row>
    <row r="91" spans="1:9" ht="15" x14ac:dyDescent="0.25">
      <c r="A91" s="80">
        <v>44575</v>
      </c>
      <c r="B91" s="50" t="s">
        <v>104</v>
      </c>
      <c r="C91" s="50" t="s">
        <v>108</v>
      </c>
      <c r="D91" s="50" t="s">
        <v>106</v>
      </c>
      <c r="E91" s="50" t="s">
        <v>94</v>
      </c>
      <c r="F91" s="50" t="s">
        <v>92</v>
      </c>
      <c r="G91" s="64">
        <v>119</v>
      </c>
      <c r="H91" s="65">
        <f t="shared" si="3"/>
        <v>340</v>
      </c>
      <c r="I91" s="66">
        <f t="shared" si="4"/>
        <v>40460</v>
      </c>
    </row>
    <row r="92" spans="1:9" ht="15" x14ac:dyDescent="0.25">
      <c r="A92" s="80">
        <v>44565</v>
      </c>
      <c r="B92" s="50" t="s">
        <v>104</v>
      </c>
      <c r="C92" s="50" t="s">
        <v>108</v>
      </c>
      <c r="D92" s="50" t="s">
        <v>111</v>
      </c>
      <c r="E92" s="50" t="s">
        <v>95</v>
      </c>
      <c r="F92" s="50" t="s">
        <v>92</v>
      </c>
      <c r="G92" s="64">
        <v>108</v>
      </c>
      <c r="H92" s="65">
        <f t="shared" si="3"/>
        <v>730</v>
      </c>
      <c r="I92" s="66">
        <f t="shared" si="4"/>
        <v>78840</v>
      </c>
    </row>
    <row r="93" spans="1:9" ht="15" x14ac:dyDescent="0.25">
      <c r="A93" s="80">
        <v>44566</v>
      </c>
      <c r="B93" s="50" t="s">
        <v>109</v>
      </c>
      <c r="C93" s="50" t="s">
        <v>108</v>
      </c>
      <c r="D93" s="50" t="s">
        <v>111</v>
      </c>
      <c r="E93" s="50" t="s">
        <v>96</v>
      </c>
      <c r="F93" s="50" t="s">
        <v>91</v>
      </c>
      <c r="G93" s="64">
        <v>41</v>
      </c>
      <c r="H93" s="65">
        <f t="shared" si="3"/>
        <v>980</v>
      </c>
      <c r="I93" s="66">
        <f t="shared" si="4"/>
        <v>40180</v>
      </c>
    </row>
    <row r="94" spans="1:9" ht="15" x14ac:dyDescent="0.25">
      <c r="A94" s="80">
        <v>44573</v>
      </c>
      <c r="B94" s="50" t="s">
        <v>109</v>
      </c>
      <c r="C94" s="50" t="s">
        <v>112</v>
      </c>
      <c r="D94" s="50" t="s">
        <v>110</v>
      </c>
      <c r="E94" s="50" t="s">
        <v>96</v>
      </c>
      <c r="F94" s="50" t="s">
        <v>92</v>
      </c>
      <c r="G94" s="64">
        <v>121</v>
      </c>
      <c r="H94" s="65">
        <f t="shared" si="3"/>
        <v>1410</v>
      </c>
      <c r="I94" s="66">
        <f t="shared" si="4"/>
        <v>170610</v>
      </c>
    </row>
    <row r="95" spans="1:9" ht="15" x14ac:dyDescent="0.25">
      <c r="A95" s="80">
        <v>44571</v>
      </c>
      <c r="B95" s="50" t="s">
        <v>107</v>
      </c>
      <c r="C95" s="50" t="s">
        <v>108</v>
      </c>
      <c r="D95" s="50" t="s">
        <v>111</v>
      </c>
      <c r="E95" s="50" t="s">
        <v>94</v>
      </c>
      <c r="F95" s="50" t="s">
        <v>92</v>
      </c>
      <c r="G95" s="64">
        <v>127</v>
      </c>
      <c r="H95" s="65">
        <f t="shared" si="3"/>
        <v>340</v>
      </c>
      <c r="I95" s="66">
        <f t="shared" si="4"/>
        <v>43180</v>
      </c>
    </row>
    <row r="96" spans="1:9" ht="15" x14ac:dyDescent="0.25">
      <c r="A96" s="80">
        <v>44565</v>
      </c>
      <c r="B96" s="50" t="s">
        <v>107</v>
      </c>
      <c r="C96" s="50" t="s">
        <v>105</v>
      </c>
      <c r="D96" s="50" t="s">
        <v>110</v>
      </c>
      <c r="E96" s="50" t="s">
        <v>96</v>
      </c>
      <c r="F96" s="50" t="s">
        <v>91</v>
      </c>
      <c r="G96" s="64">
        <v>105</v>
      </c>
      <c r="H96" s="65">
        <f t="shared" si="3"/>
        <v>980</v>
      </c>
      <c r="I96" s="66">
        <f t="shared" si="4"/>
        <v>102900</v>
      </c>
    </row>
    <row r="97" spans="1:9" ht="15" x14ac:dyDescent="0.25">
      <c r="A97" s="80">
        <v>44574</v>
      </c>
      <c r="B97" s="50" t="s">
        <v>104</v>
      </c>
      <c r="C97" s="50" t="s">
        <v>112</v>
      </c>
      <c r="D97" s="50" t="s">
        <v>110</v>
      </c>
      <c r="E97" s="50" t="s">
        <v>96</v>
      </c>
      <c r="F97" s="50" t="s">
        <v>91</v>
      </c>
      <c r="G97" s="64">
        <v>166</v>
      </c>
      <c r="H97" s="65">
        <f t="shared" si="3"/>
        <v>980</v>
      </c>
      <c r="I97" s="66">
        <f t="shared" si="4"/>
        <v>162680</v>
      </c>
    </row>
    <row r="98" spans="1:9" ht="15" x14ac:dyDescent="0.25">
      <c r="A98" s="80">
        <v>44570</v>
      </c>
      <c r="B98" s="50" t="s">
        <v>107</v>
      </c>
      <c r="C98" s="50" t="s">
        <v>113</v>
      </c>
      <c r="D98" s="50" t="s">
        <v>106</v>
      </c>
      <c r="E98" s="50" t="s">
        <v>94</v>
      </c>
      <c r="F98" s="50" t="s">
        <v>93</v>
      </c>
      <c r="G98" s="64">
        <v>84</v>
      </c>
      <c r="H98" s="65">
        <f t="shared" si="3"/>
        <v>720</v>
      </c>
      <c r="I98" s="66">
        <f t="shared" si="4"/>
        <v>60480</v>
      </c>
    </row>
    <row r="99" spans="1:9" ht="15" x14ac:dyDescent="0.25">
      <c r="A99" s="80">
        <v>44568</v>
      </c>
      <c r="B99" s="50" t="s">
        <v>107</v>
      </c>
      <c r="C99" s="50" t="s">
        <v>108</v>
      </c>
      <c r="D99" s="50" t="s">
        <v>106</v>
      </c>
      <c r="E99" s="50" t="s">
        <v>95</v>
      </c>
      <c r="F99" s="50" t="s">
        <v>92</v>
      </c>
      <c r="G99" s="64">
        <v>197</v>
      </c>
      <c r="H99" s="65">
        <f t="shared" si="3"/>
        <v>730</v>
      </c>
      <c r="I99" s="66">
        <f t="shared" si="4"/>
        <v>143810</v>
      </c>
    </row>
    <row r="100" spans="1:9" ht="15" x14ac:dyDescent="0.25">
      <c r="A100" s="81">
        <v>44571</v>
      </c>
      <c r="B100" s="67" t="s">
        <v>109</v>
      </c>
      <c r="C100" s="67" t="s">
        <v>108</v>
      </c>
      <c r="D100" s="67" t="s">
        <v>110</v>
      </c>
      <c r="E100" s="67" t="s">
        <v>96</v>
      </c>
      <c r="F100" s="67" t="s">
        <v>92</v>
      </c>
      <c r="G100" s="68">
        <v>46</v>
      </c>
      <c r="H100" s="69">
        <f t="shared" si="3"/>
        <v>1410</v>
      </c>
      <c r="I100" s="70">
        <f t="shared" si="4"/>
        <v>64860</v>
      </c>
    </row>
  </sheetData>
  <mergeCells count="2">
    <mergeCell ref="B1:E1"/>
    <mergeCell ref="A8:I8"/>
  </mergeCells>
  <pageMargins left="0.75" right="0.75" top="1" bottom="1" header="0" footer="0"/>
  <pageSetup orientation="portrait" horizontalDpi="360" verticalDpi="360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9C237-15AB-4BB8-AF19-38706055DBFA}">
  <sheetPr codeName="Hoja8">
    <tabColor theme="0" tint="-4.9989318521683403E-2"/>
  </sheetPr>
  <dimension ref="A2:J78"/>
  <sheetViews>
    <sheetView zoomScale="60" zoomScaleNormal="60" workbookViewId="0">
      <selection activeCell="O7" sqref="O7"/>
    </sheetView>
  </sheetViews>
  <sheetFormatPr baseColWidth="10" defaultColWidth="11.42578125" defaultRowHeight="15" x14ac:dyDescent="0.25"/>
  <cols>
    <col min="1" max="1" width="25.5703125" style="1" bestFit="1" customWidth="1"/>
    <col min="2" max="2" width="19.42578125" style="1" bestFit="1" customWidth="1"/>
    <col min="3" max="16384" width="11.42578125" style="1"/>
  </cols>
  <sheetData>
    <row r="2" spans="1:10" ht="33.75" x14ac:dyDescent="0.5">
      <c r="A2" s="71" t="s">
        <v>114</v>
      </c>
      <c r="B2" s="72"/>
      <c r="C2" s="72"/>
      <c r="D2" s="72"/>
      <c r="E2" s="72"/>
      <c r="F2" s="72"/>
      <c r="G2" s="72"/>
      <c r="H2" s="72"/>
      <c r="I2" s="72"/>
      <c r="J2" s="72"/>
    </row>
    <row r="3" spans="1:10" ht="33" customHeight="1" x14ac:dyDescent="0.45">
      <c r="A3" s="73" t="s">
        <v>143</v>
      </c>
      <c r="B3" s="74"/>
      <c r="C3" s="74"/>
      <c r="D3" s="74"/>
      <c r="E3" s="74"/>
      <c r="F3" s="74"/>
      <c r="G3" s="74"/>
      <c r="H3" s="74"/>
      <c r="I3" s="74"/>
      <c r="J3" s="74"/>
    </row>
    <row r="4" spans="1:10" ht="31.5" x14ac:dyDescent="0.5">
      <c r="A4" s="75" t="s">
        <v>115</v>
      </c>
    </row>
    <row r="5" spans="1:10" ht="31.5" x14ac:dyDescent="0.5">
      <c r="A5" s="75" t="s">
        <v>116</v>
      </c>
    </row>
    <row r="6" spans="1:10" ht="31.5" x14ac:dyDescent="0.5">
      <c r="A6" s="75" t="s">
        <v>117</v>
      </c>
    </row>
    <row r="7" spans="1:10" ht="31.5" x14ac:dyDescent="0.5">
      <c r="A7" s="75" t="s">
        <v>118</v>
      </c>
    </row>
    <row r="9" spans="1:10" ht="27" thickBot="1" x14ac:dyDescent="0.45">
      <c r="A9" s="76" t="s">
        <v>142</v>
      </c>
    </row>
    <row r="10" spans="1:10" ht="29.25" thickBot="1" x14ac:dyDescent="0.5">
      <c r="A10" s="76" t="s">
        <v>119</v>
      </c>
      <c r="G10" s="115" t="s">
        <v>120</v>
      </c>
      <c r="H10" s="116"/>
      <c r="I10" s="115" t="s">
        <v>121</v>
      </c>
      <c r="J10" s="116"/>
    </row>
    <row r="11" spans="1:10" ht="29.25" thickBot="1" x14ac:dyDescent="0.5">
      <c r="A11" s="76" t="s">
        <v>125</v>
      </c>
      <c r="E11" s="115" t="s">
        <v>123</v>
      </c>
      <c r="F11" s="116"/>
    </row>
    <row r="12" spans="1:10" ht="26.25" x14ac:dyDescent="0.4">
      <c r="A12" s="76" t="s">
        <v>122</v>
      </c>
    </row>
    <row r="15" spans="1:10" x14ac:dyDescent="0.25">
      <c r="A15" s="86" t="s">
        <v>126</v>
      </c>
      <c r="B15" t="s">
        <v>128</v>
      </c>
      <c r="C15"/>
    </row>
    <row r="16" spans="1:10" x14ac:dyDescent="0.25">
      <c r="A16" s="87" t="s">
        <v>111</v>
      </c>
      <c r="B16" s="88">
        <v>3089</v>
      </c>
      <c r="C16"/>
    </row>
    <row r="17" spans="1:3" x14ac:dyDescent="0.25">
      <c r="A17" s="87" t="s">
        <v>106</v>
      </c>
      <c r="B17" s="88">
        <v>3440</v>
      </c>
      <c r="C17"/>
    </row>
    <row r="18" spans="1:3" x14ac:dyDescent="0.25">
      <c r="A18" s="87" t="s">
        <v>110</v>
      </c>
      <c r="B18" s="88">
        <v>2990</v>
      </c>
      <c r="C18"/>
    </row>
    <row r="19" spans="1:3" x14ac:dyDescent="0.25">
      <c r="A19" s="87" t="s">
        <v>127</v>
      </c>
      <c r="B19" s="88">
        <v>9519</v>
      </c>
      <c r="C19"/>
    </row>
    <row r="20" spans="1:3" x14ac:dyDescent="0.25">
      <c r="A20"/>
      <c r="B20"/>
      <c r="C20"/>
    </row>
    <row r="21" spans="1:3" x14ac:dyDescent="0.25">
      <c r="A21"/>
      <c r="B21"/>
      <c r="C21"/>
    </row>
    <row r="22" spans="1:3" x14ac:dyDescent="0.25">
      <c r="A22"/>
      <c r="B22"/>
      <c r="C22"/>
    </row>
    <row r="23" spans="1:3" x14ac:dyDescent="0.25">
      <c r="A23"/>
      <c r="B23"/>
      <c r="C23"/>
    </row>
    <row r="24" spans="1:3" x14ac:dyDescent="0.25">
      <c r="A24"/>
      <c r="B24"/>
      <c r="C24"/>
    </row>
    <row r="25" spans="1:3" x14ac:dyDescent="0.25">
      <c r="A25"/>
      <c r="B25"/>
      <c r="C25"/>
    </row>
    <row r="26" spans="1:3" x14ac:dyDescent="0.25">
      <c r="A26"/>
      <c r="B26"/>
      <c r="C26"/>
    </row>
    <row r="27" spans="1:3" x14ac:dyDescent="0.25">
      <c r="A27"/>
      <c r="B27"/>
      <c r="C27"/>
    </row>
    <row r="28" spans="1:3" x14ac:dyDescent="0.25">
      <c r="A28"/>
      <c r="B28"/>
      <c r="C28"/>
    </row>
    <row r="29" spans="1:3" x14ac:dyDescent="0.25">
      <c r="A29"/>
      <c r="B29"/>
      <c r="C29"/>
    </row>
    <row r="30" spans="1:3" x14ac:dyDescent="0.25">
      <c r="A30" s="86" t="s">
        <v>126</v>
      </c>
      <c r="B30" t="s">
        <v>129</v>
      </c>
      <c r="C30"/>
    </row>
    <row r="31" spans="1:3" x14ac:dyDescent="0.25">
      <c r="A31" s="87" t="s">
        <v>111</v>
      </c>
      <c r="B31" s="88">
        <v>2280180</v>
      </c>
      <c r="C31"/>
    </row>
    <row r="32" spans="1:3" x14ac:dyDescent="0.25">
      <c r="A32" s="87" t="s">
        <v>106</v>
      </c>
      <c r="B32" s="88">
        <v>2553350</v>
      </c>
      <c r="C32"/>
    </row>
    <row r="33" spans="1:3" x14ac:dyDescent="0.25">
      <c r="A33" s="87" t="s">
        <v>110</v>
      </c>
      <c r="B33" s="88">
        <v>2352600</v>
      </c>
      <c r="C33"/>
    </row>
    <row r="34" spans="1:3" x14ac:dyDescent="0.25">
      <c r="A34" s="87" t="s">
        <v>127</v>
      </c>
      <c r="B34" s="88">
        <v>7186130</v>
      </c>
      <c r="C34"/>
    </row>
    <row r="35" spans="1:3" x14ac:dyDescent="0.25">
      <c r="A35"/>
      <c r="B35"/>
      <c r="C35"/>
    </row>
    <row r="36" spans="1:3" x14ac:dyDescent="0.25">
      <c r="A36"/>
      <c r="B36"/>
      <c r="C36"/>
    </row>
    <row r="37" spans="1:3" x14ac:dyDescent="0.25">
      <c r="A37"/>
      <c r="B37"/>
      <c r="C37"/>
    </row>
    <row r="38" spans="1:3" x14ac:dyDescent="0.25">
      <c r="A38"/>
      <c r="B38"/>
      <c r="C38"/>
    </row>
    <row r="39" spans="1:3" x14ac:dyDescent="0.25">
      <c r="A39"/>
      <c r="B39"/>
      <c r="C39"/>
    </row>
    <row r="40" spans="1:3" x14ac:dyDescent="0.25">
      <c r="A40"/>
      <c r="B40"/>
      <c r="C40"/>
    </row>
    <row r="41" spans="1:3" x14ac:dyDescent="0.25">
      <c r="A41"/>
      <c r="B41"/>
      <c r="C41"/>
    </row>
    <row r="42" spans="1:3" x14ac:dyDescent="0.25">
      <c r="A42"/>
      <c r="B42"/>
      <c r="C42"/>
    </row>
    <row r="43" spans="1:3" x14ac:dyDescent="0.25">
      <c r="A43"/>
      <c r="B43"/>
      <c r="C43"/>
    </row>
    <row r="44" spans="1:3" x14ac:dyDescent="0.25">
      <c r="A44"/>
      <c r="B44"/>
      <c r="C44"/>
    </row>
    <row r="45" spans="1:3" x14ac:dyDescent="0.25">
      <c r="A45"/>
      <c r="B45"/>
      <c r="C45"/>
    </row>
    <row r="46" spans="1:3" x14ac:dyDescent="0.25">
      <c r="A46" s="86" t="s">
        <v>126</v>
      </c>
      <c r="B46" t="s">
        <v>128</v>
      </c>
      <c r="C46"/>
    </row>
    <row r="47" spans="1:3" x14ac:dyDescent="0.25">
      <c r="A47" s="87" t="s">
        <v>104</v>
      </c>
      <c r="B47" s="88">
        <v>3105</v>
      </c>
      <c r="C47"/>
    </row>
    <row r="48" spans="1:3" x14ac:dyDescent="0.25">
      <c r="A48" s="87" t="s">
        <v>107</v>
      </c>
      <c r="B48" s="88">
        <v>3532</v>
      </c>
      <c r="C48"/>
    </row>
    <row r="49" spans="1:3" x14ac:dyDescent="0.25">
      <c r="A49" s="87" t="s">
        <v>109</v>
      </c>
      <c r="B49" s="88">
        <v>2882</v>
      </c>
      <c r="C49"/>
    </row>
    <row r="50" spans="1:3" x14ac:dyDescent="0.25">
      <c r="A50" s="87" t="s">
        <v>127</v>
      </c>
      <c r="B50" s="88">
        <v>9519</v>
      </c>
      <c r="C50"/>
    </row>
    <row r="51" spans="1:3" x14ac:dyDescent="0.25">
      <c r="A51"/>
      <c r="B51"/>
      <c r="C51"/>
    </row>
    <row r="52" spans="1:3" x14ac:dyDescent="0.25">
      <c r="A52"/>
      <c r="B52"/>
      <c r="C52"/>
    </row>
    <row r="53" spans="1:3" x14ac:dyDescent="0.25">
      <c r="A53"/>
      <c r="B53"/>
      <c r="C53"/>
    </row>
    <row r="54" spans="1:3" x14ac:dyDescent="0.25">
      <c r="A54"/>
      <c r="B54"/>
      <c r="C54"/>
    </row>
    <row r="55" spans="1:3" x14ac:dyDescent="0.25">
      <c r="A55"/>
      <c r="B55"/>
      <c r="C55"/>
    </row>
    <row r="56" spans="1:3" x14ac:dyDescent="0.25">
      <c r="A56"/>
      <c r="B56"/>
      <c r="C56"/>
    </row>
    <row r="57" spans="1:3" x14ac:dyDescent="0.25">
      <c r="A57"/>
      <c r="B57"/>
      <c r="C57"/>
    </row>
    <row r="58" spans="1:3" x14ac:dyDescent="0.25">
      <c r="A58"/>
      <c r="B58"/>
      <c r="C58"/>
    </row>
    <row r="59" spans="1:3" x14ac:dyDescent="0.25">
      <c r="A59"/>
      <c r="B59"/>
      <c r="C59"/>
    </row>
    <row r="60" spans="1:3" x14ac:dyDescent="0.25">
      <c r="A60"/>
      <c r="B60"/>
      <c r="C60"/>
    </row>
    <row r="61" spans="1:3" x14ac:dyDescent="0.25">
      <c r="A61" s="86" t="s">
        <v>126</v>
      </c>
      <c r="B61" t="s">
        <v>129</v>
      </c>
      <c r="C61"/>
    </row>
    <row r="62" spans="1:3" x14ac:dyDescent="0.25">
      <c r="A62" s="87" t="s">
        <v>95</v>
      </c>
      <c r="B62" s="88">
        <v>2368200</v>
      </c>
      <c r="C62"/>
    </row>
    <row r="63" spans="1:3" x14ac:dyDescent="0.25">
      <c r="A63" s="87" t="s">
        <v>96</v>
      </c>
      <c r="B63" s="88">
        <v>3025600</v>
      </c>
      <c r="C63"/>
    </row>
    <row r="64" spans="1:3" x14ac:dyDescent="0.25">
      <c r="A64" s="87" t="s">
        <v>94</v>
      </c>
      <c r="B64" s="88">
        <v>1792330</v>
      </c>
      <c r="C64"/>
    </row>
    <row r="65" spans="1:3" x14ac:dyDescent="0.25">
      <c r="A65" s="87" t="s">
        <v>127</v>
      </c>
      <c r="B65" s="88">
        <v>7186130</v>
      </c>
      <c r="C65"/>
    </row>
    <row r="66" spans="1:3" x14ac:dyDescent="0.25">
      <c r="A66"/>
      <c r="B66"/>
      <c r="C66"/>
    </row>
    <row r="67" spans="1:3" x14ac:dyDescent="0.25">
      <c r="A67"/>
      <c r="B67"/>
      <c r="C67"/>
    </row>
    <row r="68" spans="1:3" x14ac:dyDescent="0.25">
      <c r="A68"/>
      <c r="B68"/>
      <c r="C68"/>
    </row>
    <row r="69" spans="1:3" x14ac:dyDescent="0.25">
      <c r="A69"/>
      <c r="B69"/>
      <c r="C69"/>
    </row>
    <row r="70" spans="1:3" x14ac:dyDescent="0.25">
      <c r="A70"/>
      <c r="B70"/>
      <c r="C70"/>
    </row>
    <row r="71" spans="1:3" x14ac:dyDescent="0.25">
      <c r="A71"/>
      <c r="B71"/>
      <c r="C71"/>
    </row>
    <row r="72" spans="1:3" x14ac:dyDescent="0.25">
      <c r="A72"/>
      <c r="B72"/>
      <c r="C72"/>
    </row>
    <row r="73" spans="1:3" x14ac:dyDescent="0.25">
      <c r="A73"/>
      <c r="B73"/>
      <c r="C73"/>
    </row>
    <row r="74" spans="1:3" x14ac:dyDescent="0.25">
      <c r="A74"/>
      <c r="B74"/>
      <c r="C74"/>
    </row>
    <row r="75" spans="1:3" x14ac:dyDescent="0.25">
      <c r="A75"/>
      <c r="B75"/>
      <c r="C75"/>
    </row>
    <row r="76" spans="1:3" x14ac:dyDescent="0.25">
      <c r="A76"/>
      <c r="B76"/>
      <c r="C76"/>
    </row>
    <row r="77" spans="1:3" x14ac:dyDescent="0.25">
      <c r="A77"/>
      <c r="B77"/>
      <c r="C77"/>
    </row>
    <row r="78" spans="1:3" x14ac:dyDescent="0.25">
      <c r="A78"/>
      <c r="B78"/>
      <c r="C78"/>
    </row>
  </sheetData>
  <mergeCells count="3">
    <mergeCell ref="G10:H10"/>
    <mergeCell ref="I10:J10"/>
    <mergeCell ref="E11:F11"/>
  </mergeCells>
  <pageMargins left="0.7" right="0.7" top="0.75" bottom="0.75" header="0.3" footer="0.3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5879E-F177-4D9E-9654-D844DA3D320A}">
  <sheetPr codeName="Hoja9"/>
  <dimension ref="A1:R37"/>
  <sheetViews>
    <sheetView tabSelected="1" zoomScaleNormal="100" workbookViewId="0">
      <selection activeCell="S7" sqref="S7"/>
    </sheetView>
  </sheetViews>
  <sheetFormatPr baseColWidth="10" defaultColWidth="11.42578125" defaultRowHeight="15" x14ac:dyDescent="0.25"/>
  <cols>
    <col min="1" max="16384" width="11.42578125" style="1"/>
  </cols>
  <sheetData>
    <row r="1" spans="1:18" x14ac:dyDescent="0.25">
      <c r="A1" s="82"/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</row>
    <row r="2" spans="1:18" x14ac:dyDescent="0.25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</row>
    <row r="3" spans="1:18" x14ac:dyDescent="0.25">
      <c r="A3" s="82"/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</row>
    <row r="4" spans="1:18" x14ac:dyDescent="0.25">
      <c r="I4" s="83"/>
      <c r="J4" s="83"/>
      <c r="K4" s="83"/>
      <c r="L4" s="83"/>
      <c r="M4" s="83"/>
      <c r="N4" s="83"/>
      <c r="O4" s="83"/>
      <c r="P4" s="83"/>
      <c r="Q4" s="83"/>
      <c r="R4" s="82"/>
    </row>
    <row r="5" spans="1:18" x14ac:dyDescent="0.25">
      <c r="K5" s="84"/>
      <c r="L5" s="84"/>
      <c r="M5" s="84"/>
      <c r="N5" s="84"/>
      <c r="O5" s="84"/>
      <c r="P5" s="84"/>
      <c r="Q5" s="84"/>
      <c r="R5" s="82"/>
    </row>
    <row r="6" spans="1:18" x14ac:dyDescent="0.25">
      <c r="R6" s="82"/>
    </row>
    <row r="7" spans="1:18" x14ac:dyDescent="0.25">
      <c r="R7" s="82"/>
    </row>
    <row r="8" spans="1:18" x14ac:dyDescent="0.25">
      <c r="R8" s="82"/>
    </row>
    <row r="9" spans="1:18" x14ac:dyDescent="0.25">
      <c r="R9" s="82"/>
    </row>
    <row r="10" spans="1:18" x14ac:dyDescent="0.25">
      <c r="R10" s="82"/>
    </row>
    <row r="11" spans="1:18" x14ac:dyDescent="0.25">
      <c r="R11" s="82"/>
    </row>
    <row r="12" spans="1:18" x14ac:dyDescent="0.25">
      <c r="R12" s="82"/>
    </row>
    <row r="13" spans="1:18" x14ac:dyDescent="0.25">
      <c r="R13" s="82"/>
    </row>
    <row r="14" spans="1:18" x14ac:dyDescent="0.25">
      <c r="R14" s="82"/>
    </row>
    <row r="15" spans="1:18" x14ac:dyDescent="0.25">
      <c r="R15" s="82"/>
    </row>
    <row r="16" spans="1:18" x14ac:dyDescent="0.25">
      <c r="R16" s="82"/>
    </row>
    <row r="17" spans="18:18" x14ac:dyDescent="0.25">
      <c r="R17" s="82"/>
    </row>
    <row r="18" spans="18:18" x14ac:dyDescent="0.25">
      <c r="R18" s="82"/>
    </row>
    <row r="19" spans="18:18" x14ac:dyDescent="0.25">
      <c r="R19" s="82"/>
    </row>
    <row r="20" spans="18:18" x14ac:dyDescent="0.25">
      <c r="R20" s="82"/>
    </row>
    <row r="21" spans="18:18" x14ac:dyDescent="0.25">
      <c r="R21" s="82"/>
    </row>
    <row r="22" spans="18:18" x14ac:dyDescent="0.25">
      <c r="R22" s="82"/>
    </row>
    <row r="23" spans="18:18" x14ac:dyDescent="0.25">
      <c r="R23" s="82"/>
    </row>
    <row r="24" spans="18:18" x14ac:dyDescent="0.25">
      <c r="R24" s="82"/>
    </row>
    <row r="25" spans="18:18" x14ac:dyDescent="0.25">
      <c r="R25" s="82"/>
    </row>
    <row r="26" spans="18:18" x14ac:dyDescent="0.25">
      <c r="R26" s="82"/>
    </row>
    <row r="27" spans="18:18" x14ac:dyDescent="0.25">
      <c r="R27" s="82"/>
    </row>
    <row r="28" spans="18:18" x14ac:dyDescent="0.25">
      <c r="R28" s="82"/>
    </row>
    <row r="29" spans="18:18" x14ac:dyDescent="0.25">
      <c r="R29" s="82"/>
    </row>
    <row r="30" spans="18:18" x14ac:dyDescent="0.25">
      <c r="R30" s="82"/>
    </row>
    <row r="31" spans="18:18" x14ac:dyDescent="0.25">
      <c r="R31" s="82"/>
    </row>
    <row r="32" spans="18:18" x14ac:dyDescent="0.25">
      <c r="R32" s="82"/>
    </row>
    <row r="33" spans="1:18" x14ac:dyDescent="0.25">
      <c r="R33" s="82"/>
    </row>
    <row r="34" spans="1:18" x14ac:dyDescent="0.25">
      <c r="R34" s="82"/>
    </row>
    <row r="35" spans="1:18" x14ac:dyDescent="0.25">
      <c r="R35" s="82"/>
    </row>
    <row r="36" spans="1:18" x14ac:dyDescent="0.25">
      <c r="R36" s="82"/>
    </row>
    <row r="37" spans="1:18" x14ac:dyDescent="0.25">
      <c r="A37" s="82"/>
      <c r="B37" s="82"/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/>
      <c r="P37" s="82"/>
      <c r="Q37" s="82"/>
      <c r="R37" s="82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18</vt:i4>
      </vt:variant>
    </vt:vector>
  </HeadingPairs>
  <TitlesOfParts>
    <vt:vector size="26" baseType="lpstr">
      <vt:lpstr>Principal</vt:lpstr>
      <vt:lpstr>Tabla</vt:lpstr>
      <vt:lpstr>Registro</vt:lpstr>
      <vt:lpstr>Tablitas</vt:lpstr>
      <vt:lpstr>Consulta</vt:lpstr>
      <vt:lpstr>BaseDatos</vt:lpstr>
      <vt:lpstr>Tabla Grafico Dinamico</vt:lpstr>
      <vt:lpstr>INFORME DINAMICO</vt:lpstr>
      <vt:lpstr>Consulta!Área_de_impresión</vt:lpstr>
      <vt:lpstr>Datos</vt:lpstr>
      <vt:lpstr>NCOD</vt:lpstr>
      <vt:lpstr>OPER01</vt:lpstr>
      <vt:lpstr>OPER02</vt:lpstr>
      <vt:lpstr>OPER03</vt:lpstr>
      <vt:lpstr>OPER04</vt:lpstr>
      <vt:lpstr>OPER05</vt:lpstr>
      <vt:lpstr>OPER06</vt:lpstr>
      <vt:lpstr>OPER07</vt:lpstr>
      <vt:lpstr>OPER08</vt:lpstr>
      <vt:lpstr>OPER09</vt:lpstr>
      <vt:lpstr>OPER10</vt:lpstr>
      <vt:lpstr>OPER11</vt:lpstr>
      <vt:lpstr>OPER12</vt:lpstr>
      <vt:lpstr>OPER13</vt:lpstr>
      <vt:lpstr>OPER14</vt:lpstr>
      <vt:lpstr>PRECIOS</vt:lpstr>
    </vt:vector>
  </TitlesOfParts>
  <Company>Soluciones Integrales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2022-05-12T03:23:18Z</cp:lastPrinted>
  <dcterms:created xsi:type="dcterms:W3CDTF">2002-01-01T05:09:21Z</dcterms:created>
  <dcterms:modified xsi:type="dcterms:W3CDTF">2022-07-21T02:23:38Z</dcterms:modified>
</cp:coreProperties>
</file>